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ATA ANALYSIS\My projects\P1\"/>
    </mc:Choice>
  </mc:AlternateContent>
  <bookViews>
    <workbookView xWindow="0" yWindow="0" windowWidth="15345" windowHeight="4665" firstSheet="2" activeTab="5"/>
  </bookViews>
  <sheets>
    <sheet name="README" sheetId="16" r:id="rId1"/>
    <sheet name="Attendance key" sheetId="1" r:id="rId2"/>
    <sheet name="Quarter 2 26.27" sheetId="3" r:id="rId3"/>
    <sheet name="Data Cleaning" sheetId="5" r:id="rId4"/>
    <sheet name="Main Table from power query" sheetId="9" r:id="rId5"/>
    <sheet name="Attendance Analysis" sheetId="11" r:id="rId6"/>
    <sheet name="Fines Analysis" sheetId="12" r:id="rId7"/>
    <sheet name="Segmentation Analysis" sheetId="13" r:id="rId8"/>
    <sheet name="Data visualization" sheetId="15" state="hidden" r:id="rId9"/>
  </sheets>
  <definedNames>
    <definedName name="_xlnm._FilterDatabase" localSheetId="3" hidden="1">'Data Cleaning'!$A$1</definedName>
    <definedName name="_xlchart.v1.0" hidden="1">'Attendance Analysis'!$T$7:$T$79</definedName>
    <definedName name="_xlchart.v1.1" hidden="1">'Attendance Analysis'!$T$7:$T$79</definedName>
    <definedName name="_xlchart.v1.10" hidden="1">'Attendance Analysis'!$Q$9</definedName>
    <definedName name="_xlchart.v1.11" hidden="1">'Attendance Analysis'!$P$6</definedName>
    <definedName name="_xlchart.v1.12" hidden="1">'Attendance Analysis'!$P$7</definedName>
    <definedName name="_xlchart.v1.13" hidden="1">'Attendance Analysis'!$P$8</definedName>
    <definedName name="_xlchart.v1.14" hidden="1">'Attendance Analysis'!$P$9</definedName>
    <definedName name="_xlchart.v1.15" hidden="1">'Attendance Analysis'!$Q$6</definedName>
    <definedName name="_xlchart.v1.16" hidden="1">'Attendance Analysis'!$Q$7</definedName>
    <definedName name="_xlchart.v1.17" hidden="1">'Attendance Analysis'!$Q$76:$Q$148</definedName>
    <definedName name="_xlchart.v1.18" hidden="1">'Attendance Analysis'!$Q$8</definedName>
    <definedName name="_xlchart.v1.19" hidden="1">'Attendance Analysis'!$Q$9</definedName>
    <definedName name="_xlchart.v1.2" hidden="1">'Attendance Analysis'!$P$6</definedName>
    <definedName name="_xlchart.v1.3" hidden="1">'Attendance Analysis'!$P$7</definedName>
    <definedName name="_xlchart.v1.4" hidden="1">'Attendance Analysis'!$P$8</definedName>
    <definedName name="_xlchart.v1.5" hidden="1">'Attendance Analysis'!$P$9</definedName>
    <definedName name="_xlchart.v1.6" hidden="1">'Attendance Analysis'!$Q$6</definedName>
    <definedName name="_xlchart.v1.7" hidden="1">'Attendance Analysis'!$Q$7</definedName>
    <definedName name="_xlchart.v1.8" hidden="1">'Attendance Analysis'!$Q$76:$Q$148</definedName>
    <definedName name="_xlchart.v1.9" hidden="1">'Attendance Analysis'!$Q$8</definedName>
    <definedName name="ExternalData_1" localSheetId="4" hidden="1">'Main Table from power query'!$A$1:$H$1022</definedName>
  </definedNames>
  <calcPr calcId="162913"/>
  <pivotCaches>
    <pivotCache cacheId="14" r:id="rId10"/>
    <pivotCache cacheId="15" r:id="rId11"/>
  </pivotCaches>
</workbook>
</file>

<file path=xl/calcChain.xml><?xml version="1.0" encoding="utf-8"?>
<calcChain xmlns="http://schemas.openxmlformats.org/spreadsheetml/2006/main">
  <c r="R74" i="11" l="1"/>
  <c r="R75" i="11"/>
  <c r="R76" i="11"/>
  <c r="R77" i="11"/>
  <c r="R78" i="11"/>
  <c r="F15" i="13" l="1"/>
  <c r="G5" i="13"/>
  <c r="F5" i="13"/>
  <c r="G4" i="13"/>
  <c r="F4" i="13"/>
  <c r="Q9" i="11"/>
  <c r="Q7" i="11"/>
  <c r="Q6" i="11"/>
  <c r="Q8" i="11"/>
  <c r="R2" i="5"/>
  <c r="R3" i="5"/>
  <c r="R4" i="5"/>
  <c r="R6" i="5"/>
  <c r="R5" i="5"/>
  <c r="R7" i="5"/>
  <c r="R8" i="5"/>
  <c r="R9" i="5"/>
  <c r="R10" i="5"/>
  <c r="R11" i="5"/>
  <c r="R12" i="5"/>
  <c r="R15" i="5"/>
  <c r="R13" i="5"/>
  <c r="R14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50" i="5"/>
  <c r="R51" i="5"/>
  <c r="R49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70" i="5"/>
  <c r="R66" i="5"/>
  <c r="R67" i="5"/>
  <c r="R68" i="5"/>
  <c r="R69" i="5"/>
  <c r="R71" i="5"/>
  <c r="R72" i="5"/>
  <c r="R73" i="5"/>
  <c r="R74" i="5"/>
  <c r="R8" i="11" l="1"/>
  <c r="R10" i="11"/>
  <c r="R14" i="11"/>
  <c r="R18" i="11"/>
  <c r="R22" i="11"/>
  <c r="R26" i="11"/>
  <c r="R30" i="11"/>
  <c r="R34" i="11"/>
  <c r="R38" i="11"/>
  <c r="R42" i="11"/>
  <c r="R46" i="11"/>
  <c r="R50" i="11"/>
  <c r="R54" i="11"/>
  <c r="R58" i="11"/>
  <c r="R62" i="11"/>
  <c r="R66" i="11"/>
  <c r="R70" i="11"/>
  <c r="R11" i="11"/>
  <c r="R15" i="11"/>
  <c r="R19" i="11"/>
  <c r="R23" i="11"/>
  <c r="R27" i="11"/>
  <c r="R31" i="11"/>
  <c r="R35" i="11"/>
  <c r="R39" i="11"/>
  <c r="R43" i="11"/>
  <c r="R47" i="11"/>
  <c r="R51" i="11"/>
  <c r="R55" i="11"/>
  <c r="R59" i="11"/>
  <c r="R63" i="11"/>
  <c r="R67" i="11"/>
  <c r="R71" i="11"/>
  <c r="R12" i="11"/>
  <c r="R16" i="11"/>
  <c r="R20" i="11"/>
  <c r="R24" i="11"/>
  <c r="R28" i="11"/>
  <c r="R32" i="11"/>
  <c r="R36" i="11"/>
  <c r="R40" i="11"/>
  <c r="R44" i="11"/>
  <c r="R48" i="11"/>
  <c r="R52" i="11"/>
  <c r="R56" i="11"/>
  <c r="R60" i="11"/>
  <c r="R64" i="11"/>
  <c r="R68" i="11"/>
  <c r="R72" i="11"/>
  <c r="R13" i="11"/>
  <c r="R17" i="11"/>
  <c r="R21" i="11"/>
  <c r="R25" i="11"/>
  <c r="R29" i="11"/>
  <c r="R33" i="11"/>
  <c r="R37" i="11"/>
  <c r="R41" i="11"/>
  <c r="R45" i="11"/>
  <c r="R49" i="11"/>
  <c r="R53" i="11"/>
  <c r="R57" i="11"/>
  <c r="R61" i="11"/>
  <c r="R65" i="11"/>
  <c r="R69" i="11"/>
  <c r="R73" i="11"/>
  <c r="R6" i="11"/>
  <c r="R7" i="11"/>
  <c r="R9" i="11"/>
  <c r="V3" i="3"/>
  <c r="U3" i="3"/>
  <c r="T3" i="3"/>
  <c r="V2" i="3"/>
  <c r="U2" i="3"/>
  <c r="T2" i="3"/>
  <c r="H2" i="3"/>
  <c r="I2" i="3" s="1"/>
  <c r="J2" i="3" s="1"/>
  <c r="K2" i="3" s="1"/>
  <c r="L2" i="3" s="1"/>
  <c r="M2" i="3" s="1"/>
  <c r="D2" i="3"/>
  <c r="E2" i="3" s="1"/>
  <c r="F2" i="3" s="1"/>
  <c r="C1" i="3"/>
</calcChain>
</file>

<file path=xl/comments1.xml><?xml version="1.0" encoding="utf-8"?>
<comments xmlns="http://schemas.openxmlformats.org/spreadsheetml/2006/main">
  <authors>
    <author>HP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Outstanding fines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Members with 2 coloured columns are flagegd as "risk members" 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4" description="Connection to the 'Table4' query in the workbook." type="5" refreshedVersion="6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<sst xmlns="http://schemas.openxmlformats.org/spreadsheetml/2006/main" count="7356" uniqueCount="180">
  <si>
    <t>SETTINGS</t>
  </si>
  <si>
    <t>ATTENDANCE KEY</t>
  </si>
  <si>
    <t>Change the attendance key by updating the values below.</t>
  </si>
  <si>
    <t>Add classes by duplicating the 'Class 1' sheet tab. 
New tabs will reference this same attendance key.</t>
  </si>
  <si>
    <t>P</t>
  </si>
  <si>
    <t>Present</t>
  </si>
  <si>
    <t>L</t>
  </si>
  <si>
    <t>Late</t>
  </si>
  <si>
    <t>E</t>
  </si>
  <si>
    <t>Excused absence</t>
  </si>
  <si>
    <t>U</t>
  </si>
  <si>
    <t>Unexcused absence</t>
  </si>
  <si>
    <t>Reached out to</t>
  </si>
  <si>
    <t>Paid</t>
  </si>
  <si>
    <t>Paid half</t>
  </si>
  <si>
    <t>Issues</t>
  </si>
  <si>
    <t>Not owing</t>
  </si>
  <si>
    <t>Status</t>
  </si>
  <si>
    <t>Sun</t>
  </si>
  <si>
    <t xml:space="preserve"> Sun</t>
  </si>
  <si>
    <t>Sun. LM</t>
  </si>
  <si>
    <t>Praise Olukiran</t>
  </si>
  <si>
    <t>-</t>
  </si>
  <si>
    <t>Members</t>
  </si>
  <si>
    <t>May 10th</t>
  </si>
  <si>
    <t>May 17th</t>
  </si>
  <si>
    <t>May 24th</t>
  </si>
  <si>
    <t>May 31st</t>
  </si>
  <si>
    <t>June 7th</t>
  </si>
  <si>
    <t>June 14th</t>
  </si>
  <si>
    <t>June 21st</t>
  </si>
  <si>
    <t>June 28th</t>
  </si>
  <si>
    <t>July 5th</t>
  </si>
  <si>
    <t>July 12th</t>
  </si>
  <si>
    <t>July 19th</t>
  </si>
  <si>
    <t>Excused Absence</t>
  </si>
  <si>
    <t>Unexcused Absence</t>
  </si>
  <si>
    <t>Zain</t>
  </si>
  <si>
    <t>Seyii</t>
  </si>
  <si>
    <t>Tobi</t>
  </si>
  <si>
    <t>Bayo</t>
  </si>
  <si>
    <t>John</t>
  </si>
  <si>
    <t>Eni</t>
  </si>
  <si>
    <t>Sola</t>
  </si>
  <si>
    <t>Kemi</t>
  </si>
  <si>
    <t>David</t>
  </si>
  <si>
    <t>Eli</t>
  </si>
  <si>
    <t>Suyi</t>
  </si>
  <si>
    <t>Phebe</t>
  </si>
  <si>
    <t>Lanre</t>
  </si>
  <si>
    <t>Fawaz</t>
  </si>
  <si>
    <t>Josh</t>
  </si>
  <si>
    <t>Daniel</t>
  </si>
  <si>
    <t>Ife</t>
  </si>
  <si>
    <t>Grace</t>
  </si>
  <si>
    <t>Hadassah</t>
  </si>
  <si>
    <t>Layo</t>
  </si>
  <si>
    <t>Fisayo</t>
  </si>
  <si>
    <t>Tofunmi</t>
  </si>
  <si>
    <t>Emma</t>
  </si>
  <si>
    <t>Micheal</t>
  </si>
  <si>
    <t>Funmi</t>
  </si>
  <si>
    <t>Lore</t>
  </si>
  <si>
    <t>Theo</t>
  </si>
  <si>
    <t>Israel</t>
  </si>
  <si>
    <t>Kiekie</t>
  </si>
  <si>
    <t>Robor</t>
  </si>
  <si>
    <t>Adeola</t>
  </si>
  <si>
    <t>Stella</t>
  </si>
  <si>
    <t>Haddy</t>
  </si>
  <si>
    <t>Hikmah</t>
  </si>
  <si>
    <t>Idunnu</t>
  </si>
  <si>
    <t>Johnsom</t>
  </si>
  <si>
    <t>Josephine</t>
  </si>
  <si>
    <t>Idowu</t>
  </si>
  <si>
    <t>Kamal</t>
  </si>
  <si>
    <t>Abisola</t>
  </si>
  <si>
    <t>Moses</t>
  </si>
  <si>
    <t>Feranmi</t>
  </si>
  <si>
    <t>Raheem</t>
  </si>
  <si>
    <t>Ella</t>
  </si>
  <si>
    <t>Ebuka</t>
  </si>
  <si>
    <t>Marvelous</t>
  </si>
  <si>
    <t>Deborah</t>
  </si>
  <si>
    <t>Sope</t>
  </si>
  <si>
    <t>Ola</t>
  </si>
  <si>
    <t>Ore</t>
  </si>
  <si>
    <t>Paul</t>
  </si>
  <si>
    <t>Vic</t>
  </si>
  <si>
    <t>Timi</t>
  </si>
  <si>
    <t>Joy</t>
  </si>
  <si>
    <t>Sam</t>
  </si>
  <si>
    <t>Faith</t>
  </si>
  <si>
    <t>Tayo</t>
  </si>
  <si>
    <t>Dunamis</t>
  </si>
  <si>
    <t>Temi</t>
  </si>
  <si>
    <t>Yemi</t>
  </si>
  <si>
    <t>Precious</t>
  </si>
  <si>
    <t>Praise</t>
  </si>
  <si>
    <t>Taiwo</t>
  </si>
  <si>
    <t>Kenny</t>
  </si>
  <si>
    <t>Tolu</t>
  </si>
  <si>
    <t>Victor</t>
  </si>
  <si>
    <t>Joel</t>
  </si>
  <si>
    <t>Grand Total</t>
  </si>
  <si>
    <t>Gender</t>
  </si>
  <si>
    <t>F</t>
  </si>
  <si>
    <t>M</t>
  </si>
  <si>
    <t>Peace</t>
  </si>
  <si>
    <t>Tomi</t>
  </si>
  <si>
    <t>Tobia</t>
  </si>
  <si>
    <t>Attribute</t>
  </si>
  <si>
    <t>Value</t>
  </si>
  <si>
    <t>Fine Status</t>
  </si>
  <si>
    <t>Dariel</t>
  </si>
  <si>
    <t>Esther</t>
  </si>
  <si>
    <t>Great</t>
  </si>
  <si>
    <t>Johnson</t>
  </si>
  <si>
    <t>Row Labels</t>
  </si>
  <si>
    <t>(All)</t>
  </si>
  <si>
    <t>Count of Value</t>
  </si>
  <si>
    <t>Meeting days</t>
  </si>
  <si>
    <t>Attendance</t>
  </si>
  <si>
    <t>Sum of Late</t>
  </si>
  <si>
    <t>Members count</t>
  </si>
  <si>
    <t>Sum of Unexcused Absence</t>
  </si>
  <si>
    <t>Late amount</t>
  </si>
  <si>
    <t>Excused Absence amount</t>
  </si>
  <si>
    <t>Unexcused absence amount</t>
  </si>
  <si>
    <t>Amount</t>
  </si>
  <si>
    <t>Top Owing Members</t>
  </si>
  <si>
    <t>Outstanding fines vs paid fines</t>
  </si>
  <si>
    <t>Unexcused Absence count</t>
  </si>
  <si>
    <t>Total Fine</t>
  </si>
  <si>
    <t>Unexcused Absences</t>
  </si>
  <si>
    <t>Statistics</t>
  </si>
  <si>
    <t>Column1</t>
  </si>
  <si>
    <t>Mean</t>
  </si>
  <si>
    <t>Attendance statistics</t>
  </si>
  <si>
    <t>Median</t>
  </si>
  <si>
    <t>Mode</t>
  </si>
  <si>
    <t>Standard deviation</t>
  </si>
  <si>
    <t>Outlier?</t>
  </si>
  <si>
    <t>Attendeance rate per members</t>
  </si>
  <si>
    <t>Present rate</t>
  </si>
  <si>
    <t>Male</t>
  </si>
  <si>
    <t>Female</t>
  </si>
  <si>
    <t>Has Unexcused?</t>
  </si>
  <si>
    <t>Yes</t>
  </si>
  <si>
    <t>No</t>
  </si>
  <si>
    <t>Number of members</t>
  </si>
  <si>
    <t>Chi Square test - is unexcused absence associated with gender?</t>
  </si>
  <si>
    <t>Unexcused absences?</t>
  </si>
  <si>
    <t>P-value</t>
  </si>
  <si>
    <t>Since p-value is less than 0.05, gender and unexcused absence have no relationship</t>
  </si>
  <si>
    <t>Attendance &amp; Fines Tracker — Project Guide</t>
  </si>
  <si>
    <t>This workbook tracks member attendance and fines across the quarter, then analyzes the data for attendance trends, outstanding fines, and gender-based segmentation.</t>
  </si>
  <si>
    <t>Sheet</t>
  </si>
  <si>
    <t>Purpose</t>
  </si>
  <si>
    <t>Start here if you want to...</t>
  </si>
  <si>
    <t>Attendance key</t>
  </si>
  <si>
    <t>Defines the P / L / E / U codes used across the workbook, plus fine-status labels.</t>
  </si>
  <si>
    <t>Understand what a code means</t>
  </si>
  <si>
    <t>Quarter 2 26.27</t>
  </si>
  <si>
    <t>Cleaned wide-format version with status, fine amounts, and unexcused-absence counts calculated per member.</t>
  </si>
  <si>
    <t>Check a member’s fine total or status</t>
  </si>
  <si>
    <t>Data Cleaning</t>
  </si>
  <si>
    <t>Main Table</t>
  </si>
  <si>
    <t>Long/unpivoted version of the data (one row per member per meeting date). Feeds the pivot tables and charts.</t>
  </si>
  <si>
    <t>Build a new pivot table or chart</t>
  </si>
  <si>
    <t>Attendance Analysis</t>
  </si>
  <si>
    <t>Per-member attendance rate breakdown (P/L/E/U), meeting-day-level attendance stats, and outlier detection (Mean/Median/Mode/Std Dev, flagged when a member’s rate deviates from the mean by more than 1.5× the standard deviation).</t>
  </si>
  <si>
    <t>See who is attending irregularly</t>
  </si>
  <si>
    <t>Fines Analysis</t>
  </si>
  <si>
    <t>Outstanding vs. paid fines, fine amounts by absence type, and a Top Owing Members ranking.</t>
  </si>
  <si>
    <t>Chase up unpaid fines</t>
  </si>
  <si>
    <t>Segmentation Analysis</t>
  </si>
  <si>
    <t>Cross-tab of gender against unexcused absences and total fines.</t>
  </si>
  <si>
    <t>Check for patterns by gender</t>
  </si>
  <si>
    <t>Note: pivot tables in this workbook recalculate automatically when opened in Excel (Formulas &gt; Calculation Options &gt; Automatic, the default). If a table looks out of date, right-click it and choose Refresh, or Data &gt; Refresh 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</si>
</sst>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m&quot;/&quot;d"/>
    <numFmt numFmtId="165" formatCode="m/d"/>
    <numFmt numFmtId="166" formatCode="[$₦-46A]#,##0"/>
  </numFmts>
  <fonts count="40">
    <font>
      <sz val="10"/>
      <color rgb="FF000000"/>
      <name val="Arial"/>
    </font>
    <font>
      <sz val="12"/>
      <color rgb="FFC5CAE9"/>
      <name val="Roboto"/>
    </font>
    <font>
      <sz val="12"/>
      <color rgb="FFC5CAE9"/>
      <name val="Roboto Condensed"/>
    </font>
    <font>
      <sz val="18"/>
      <color rgb="FFFFFFFF"/>
      <name val="Roboto"/>
    </font>
    <font>
      <sz val="20"/>
      <color rgb="FFFFFFFF"/>
      <name val="Roboto"/>
    </font>
    <font>
      <sz val="10"/>
      <name val="Arial"/>
      <family val="2"/>
    </font>
    <font>
      <sz val="10"/>
      <color rgb="FF303F9F"/>
      <name val="Roboto"/>
    </font>
    <font>
      <i/>
      <sz val="10"/>
      <color rgb="FF303F9F"/>
      <name val="Roboto Condensed"/>
    </font>
    <font>
      <i/>
      <sz val="10"/>
      <color rgb="FF303F9F"/>
      <name val="Roboto Condensed"/>
    </font>
    <font>
      <sz val="10"/>
      <color rgb="FF434343"/>
      <name val="Roboto"/>
    </font>
    <font>
      <b/>
      <sz val="10"/>
      <color rgb="FF303F9F"/>
      <name val="Roboto"/>
    </font>
    <font>
      <b/>
      <sz val="10"/>
      <color rgb="FF434343"/>
      <name val="Roboto"/>
    </font>
    <font>
      <sz val="12"/>
      <color rgb="FFFFFFFF"/>
      <name val="Roboto"/>
    </font>
    <font>
      <i/>
      <sz val="10"/>
      <color rgb="FFC5CAE9"/>
      <name val="Roboto Condensed"/>
    </font>
    <font>
      <i/>
      <sz val="10"/>
      <color rgb="FFC5CAE9"/>
      <name val="Roboto"/>
    </font>
    <font>
      <sz val="10"/>
      <name val="Roboto"/>
    </font>
    <font>
      <b/>
      <sz val="10"/>
      <color rgb="FF303F9F"/>
      <name val="Roboto"/>
    </font>
    <font>
      <b/>
      <sz val="9"/>
      <color rgb="FF303F9F"/>
      <name val="Roboto"/>
    </font>
    <font>
      <i/>
      <sz val="10"/>
      <color rgb="FF6772AD"/>
      <name val="Roboto"/>
    </font>
    <font>
      <sz val="10"/>
      <color rgb="FF6772AD"/>
      <name val="Roboto"/>
    </font>
    <font>
      <sz val="10"/>
      <name val="Arial"/>
      <family val="2"/>
    </font>
    <font>
      <sz val="10"/>
      <color rgb="FF666666"/>
      <name val="Roboto"/>
    </font>
    <font>
      <sz val="10"/>
      <name val="Arial"/>
      <family val="2"/>
    </font>
    <font>
      <b/>
      <sz val="10"/>
      <color rgb="FF666666"/>
      <name val="Roboto"/>
    </font>
    <font>
      <sz val="10"/>
      <name val="Roboto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Roboto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Robot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B7B7B7"/>
      </patternFill>
    </fill>
    <fill>
      <patternFill patternType="solid">
        <fgColor theme="1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303F9F"/>
      </bottom>
      <diagonal/>
    </border>
    <border>
      <left/>
      <right/>
      <top style="thin">
        <color rgb="FF303F9F"/>
      </top>
      <bottom style="thin">
        <color rgb="FFFFFFFF"/>
      </bottom>
      <diagonal/>
    </border>
    <border>
      <left/>
      <right/>
      <top style="thin">
        <color rgb="FF303F9F"/>
      </top>
      <bottom/>
      <diagonal/>
    </border>
    <border>
      <left style="thin">
        <color rgb="FFE8EAF6"/>
      </left>
      <right style="thin">
        <color rgb="FFE8EAF6"/>
      </right>
      <top style="thin">
        <color rgb="FF303F9F"/>
      </top>
      <bottom/>
      <diagonal/>
    </border>
    <border>
      <left style="thin">
        <color rgb="FFE8EAF6"/>
      </left>
      <right/>
      <top style="thin">
        <color rgb="FF303F9F"/>
      </top>
      <bottom/>
      <diagonal/>
    </border>
    <border>
      <left/>
      <right/>
      <top/>
      <bottom style="thin">
        <color rgb="FFC5CAE9"/>
      </bottom>
      <diagonal/>
    </border>
    <border>
      <left/>
      <right style="thin">
        <color rgb="FFFFFFFF"/>
      </right>
      <top style="thin">
        <color rgb="FFFFFFFF"/>
      </top>
      <bottom style="thin">
        <color rgb="FFC5CAE9"/>
      </bottom>
      <diagonal/>
    </border>
    <border>
      <left style="thin">
        <color rgb="FFE8EAF6"/>
      </left>
      <right style="thin">
        <color rgb="FFE8EAF6"/>
      </right>
      <top/>
      <bottom style="thin">
        <color rgb="FFC5CAE9"/>
      </bottom>
      <diagonal/>
    </border>
    <border>
      <left style="thin">
        <color rgb="FFE8EAF6"/>
      </left>
      <right/>
      <top/>
      <bottom style="thin">
        <color rgb="FFC5CAE9"/>
      </bottom>
      <diagonal/>
    </border>
    <border>
      <left style="thin">
        <color rgb="FFC5CAE9"/>
      </left>
      <right/>
      <top/>
      <bottom/>
      <diagonal/>
    </border>
    <border>
      <left style="thin">
        <color rgb="FFC5CAE9"/>
      </left>
      <right style="thin">
        <color rgb="FFC5CAE9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211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3" fillId="2" borderId="1" xfId="0" applyFont="1" applyFill="1" applyBorder="1" applyAlignment="1">
      <alignment vertical="top"/>
    </xf>
    <xf numFmtId="0" fontId="6" fillId="3" borderId="0" xfId="0" applyFont="1" applyFill="1" applyAlignment="1"/>
    <xf numFmtId="0" fontId="6" fillId="3" borderId="0" xfId="0" applyFont="1" applyFill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/>
    <xf numFmtId="0" fontId="11" fillId="0" borderId="0" xfId="0" applyFont="1" applyAlignment="1">
      <alignment horizontal="left"/>
    </xf>
    <xf numFmtId="0" fontId="9" fillId="0" borderId="0" xfId="0" applyFont="1" applyAlignment="1"/>
    <xf numFmtId="0" fontId="11" fillId="4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2" fillId="2" borderId="0" xfId="0" applyFont="1" applyFill="1" applyAlignment="1"/>
    <xf numFmtId="0" fontId="14" fillId="2" borderId="0" xfId="0" applyFont="1" applyFill="1" applyAlignment="1">
      <alignment horizontal="left" vertical="center"/>
    </xf>
    <xf numFmtId="164" fontId="15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64" fontId="16" fillId="0" borderId="2" xfId="0" applyNumberFormat="1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14" fontId="16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left" vertical="top"/>
    </xf>
    <xf numFmtId="0" fontId="18" fillId="0" borderId="6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center" vertical="top"/>
    </xf>
    <xf numFmtId="0" fontId="19" fillId="0" borderId="6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5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22" fillId="9" borderId="0" xfId="0" applyFont="1" applyFill="1" applyAlignment="1"/>
    <xf numFmtId="0" fontId="23" fillId="0" borderId="0" xfId="0" applyFont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4" fillId="0" borderId="0" xfId="0" applyFont="1"/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11" borderId="0" xfId="0" applyFont="1" applyFill="1" applyAlignment="1">
      <alignment horizontal="center" vertical="center"/>
    </xf>
    <xf numFmtId="0" fontId="15" fillId="9" borderId="0" xfId="0" applyFont="1" applyFill="1" applyAlignment="1"/>
    <xf numFmtId="0" fontId="26" fillId="9" borderId="0" xfId="0" applyFont="1" applyFill="1" applyAlignment="1"/>
    <xf numFmtId="166" fontId="15" fillId="11" borderId="0" xfId="1" applyNumberFormat="1" applyFont="1" applyFill="1" applyAlignment="1">
      <alignment horizontal="center" vertical="center"/>
    </xf>
    <xf numFmtId="0" fontId="0" fillId="0" borderId="13" xfId="0" applyFont="1" applyBorder="1" applyAlignment="1"/>
    <xf numFmtId="0" fontId="0" fillId="0" borderId="14" xfId="0" applyFont="1" applyBorder="1" applyAlignment="1"/>
    <xf numFmtId="0" fontId="26" fillId="0" borderId="0" xfId="0" applyFont="1" applyAlignment="1">
      <alignment horizontal="left"/>
    </xf>
    <xf numFmtId="0" fontId="30" fillId="12" borderId="18" xfId="0" applyFont="1" applyFill="1" applyBorder="1" applyAlignment="1"/>
    <xf numFmtId="0" fontId="28" fillId="16" borderId="16" xfId="0" applyFont="1" applyFill="1" applyBorder="1" applyAlignment="1">
      <alignment horizontal="center" vertical="top"/>
    </xf>
    <xf numFmtId="0" fontId="28" fillId="16" borderId="0" xfId="0" applyFont="1" applyFill="1" applyBorder="1" applyAlignment="1">
      <alignment horizontal="center" vertical="top"/>
    </xf>
    <xf numFmtId="0" fontId="28" fillId="16" borderId="0" xfId="0" applyFont="1" applyFill="1" applyBorder="1" applyAlignment="1">
      <alignment horizontal="center" vertical="top" wrapText="1"/>
    </xf>
    <xf numFmtId="0" fontId="28" fillId="16" borderId="17" xfId="0" applyFont="1" applyFill="1" applyBorder="1" applyAlignment="1">
      <alignment horizontal="center" vertical="top" wrapText="1"/>
    </xf>
    <xf numFmtId="0" fontId="29" fillId="12" borderId="0" xfId="0" applyFont="1" applyFill="1" applyAlignment="1"/>
    <xf numFmtId="0" fontId="21" fillId="13" borderId="0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26" fillId="14" borderId="0" xfId="0" applyFont="1" applyFill="1" applyBorder="1" applyAlignment="1">
      <alignment horizontal="left"/>
    </xf>
    <xf numFmtId="0" fontId="31" fillId="5" borderId="0" xfId="0" applyFont="1" applyFill="1" applyBorder="1" applyAlignment="1">
      <alignment horizontal="center" vertical="center"/>
    </xf>
    <xf numFmtId="166" fontId="15" fillId="15" borderId="0" xfId="1" applyNumberFormat="1" applyFont="1" applyFill="1" applyBorder="1" applyAlignment="1">
      <alignment horizontal="center" vertical="center"/>
    </xf>
    <xf numFmtId="0" fontId="26" fillId="13" borderId="0" xfId="0" applyFont="1" applyFill="1" applyBorder="1" applyAlignment="1"/>
    <xf numFmtId="0" fontId="31" fillId="8" borderId="0" xfId="0" applyFont="1" applyFill="1" applyBorder="1" applyAlignment="1">
      <alignment horizontal="center" vertical="center"/>
    </xf>
    <xf numFmtId="166" fontId="15" fillId="13" borderId="0" xfId="1" applyNumberFormat="1" applyFont="1" applyFill="1" applyBorder="1" applyAlignment="1">
      <alignment horizontal="center" vertical="center"/>
    </xf>
    <xf numFmtId="0" fontId="21" fillId="14" borderId="0" xfId="0" applyFont="1" applyFill="1" applyBorder="1" applyAlignment="1">
      <alignment horizontal="center" vertical="center"/>
    </xf>
    <xf numFmtId="0" fontId="26" fillId="14" borderId="0" xfId="0" applyFont="1" applyFill="1" applyBorder="1" applyAlignment="1">
      <alignment horizontal="center" vertical="center"/>
    </xf>
    <xf numFmtId="0" fontId="31" fillId="4" borderId="0" xfId="0" applyFont="1" applyFill="1" applyBorder="1" applyAlignment="1">
      <alignment horizontal="center" vertical="center"/>
    </xf>
    <xf numFmtId="166" fontId="15" fillId="14" borderId="0" xfId="1" applyNumberFormat="1" applyFont="1" applyFill="1" applyBorder="1" applyAlignment="1">
      <alignment horizontal="center" vertical="center"/>
    </xf>
    <xf numFmtId="0" fontId="15" fillId="13" borderId="0" xfId="0" applyFont="1" applyFill="1" applyBorder="1" applyAlignment="1"/>
    <xf numFmtId="0" fontId="26" fillId="13" borderId="0" xfId="0" applyFont="1" applyFill="1" applyBorder="1" applyAlignment="1">
      <alignment horizontal="left"/>
    </xf>
    <xf numFmtId="0" fontId="26" fillId="13" borderId="0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left"/>
    </xf>
    <xf numFmtId="0" fontId="21" fillId="13" borderId="23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31" fillId="8" borderId="23" xfId="0" applyFont="1" applyFill="1" applyBorder="1" applyAlignment="1">
      <alignment horizontal="center" vertical="center"/>
    </xf>
    <xf numFmtId="166" fontId="15" fillId="13" borderId="23" xfId="1" applyNumberFormat="1" applyFont="1" applyFill="1" applyBorder="1" applyAlignment="1">
      <alignment horizontal="center" vertical="center"/>
    </xf>
    <xf numFmtId="0" fontId="0" fillId="0" borderId="12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30" fillId="12" borderId="12" xfId="0" applyFont="1" applyFill="1" applyBorder="1" applyAlignment="1"/>
    <xf numFmtId="0" fontId="30" fillId="12" borderId="24" xfId="0" applyFont="1" applyFill="1" applyBorder="1" applyAlignment="1"/>
    <xf numFmtId="0" fontId="27" fillId="0" borderId="21" xfId="0" applyFont="1" applyBorder="1" applyAlignment="1">
      <alignment horizontal="left"/>
    </xf>
    <xf numFmtId="0" fontId="0" fillId="0" borderId="0" xfId="0" applyFont="1" applyAlignment="1"/>
    <xf numFmtId="0" fontId="0" fillId="0" borderId="0" xfId="0" applyNumberFormat="1" applyFont="1" applyAlignment="1"/>
    <xf numFmtId="9" fontId="0" fillId="0" borderId="12" xfId="0" applyNumberFormat="1" applyFont="1" applyBorder="1" applyAlignment="1"/>
    <xf numFmtId="9" fontId="0" fillId="0" borderId="24" xfId="0" applyNumberFormat="1" applyFont="1" applyBorder="1" applyAlignment="1"/>
    <xf numFmtId="9" fontId="0" fillId="0" borderId="18" xfId="0" applyNumberFormat="1" applyFont="1" applyBorder="1" applyAlignment="1"/>
    <xf numFmtId="9" fontId="0" fillId="0" borderId="15" xfId="0" applyNumberFormat="1" applyFont="1" applyBorder="1" applyAlignment="1"/>
    <xf numFmtId="9" fontId="0" fillId="0" borderId="25" xfId="0" applyNumberFormat="1" applyFont="1" applyBorder="1" applyAlignment="1"/>
    <xf numFmtId="9" fontId="0" fillId="0" borderId="19" xfId="0" applyNumberFormat="1" applyFont="1" applyBorder="1" applyAlignment="1"/>
    <xf numFmtId="0" fontId="27" fillId="0" borderId="0" xfId="0" applyFont="1" applyAlignment="1"/>
    <xf numFmtId="0" fontId="0" fillId="0" borderId="12" xfId="0" applyFont="1" applyBorder="1" applyAlignment="1"/>
    <xf numFmtId="0" fontId="0" fillId="0" borderId="1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0" fontId="0" fillId="0" borderId="30" xfId="0" applyFont="1" applyBorder="1" applyAlignment="1"/>
    <xf numFmtId="0" fontId="0" fillId="0" borderId="12" xfId="0" pivotButton="1" applyFont="1" applyBorder="1" applyAlignment="1"/>
    <xf numFmtId="0" fontId="0" fillId="0" borderId="24" xfId="0" applyFont="1" applyBorder="1" applyAlignment="1"/>
    <xf numFmtId="0" fontId="0" fillId="0" borderId="21" xfId="0" applyFont="1" applyBorder="1" applyAlignment="1">
      <alignment horizontal="left"/>
    </xf>
    <xf numFmtId="0" fontId="0" fillId="0" borderId="20" xfId="0" pivotButton="1" applyFont="1" applyBorder="1" applyAlignment="1"/>
    <xf numFmtId="0" fontId="0" fillId="0" borderId="20" xfId="0" applyFont="1" applyBorder="1" applyAlignment="1"/>
    <xf numFmtId="0" fontId="0" fillId="0" borderId="18" xfId="0" applyNumberFormat="1" applyFont="1" applyBorder="1" applyAlignment="1"/>
    <xf numFmtId="0" fontId="0" fillId="0" borderId="19" xfId="0" applyNumberFormat="1" applyFont="1" applyBorder="1" applyAlignment="1"/>
    <xf numFmtId="0" fontId="0" fillId="0" borderId="12" xfId="0" applyNumberFormat="1" applyFont="1" applyBorder="1" applyAlignment="1"/>
    <xf numFmtId="0" fontId="0" fillId="0" borderId="24" xfId="0" applyNumberFormat="1" applyFont="1" applyBorder="1" applyAlignment="1"/>
    <xf numFmtId="0" fontId="0" fillId="0" borderId="15" xfId="0" applyNumberFormat="1" applyFont="1" applyBorder="1" applyAlignment="1"/>
    <xf numFmtId="0" fontId="0" fillId="0" borderId="25" xfId="0" applyNumberFormat="1" applyFont="1" applyBorder="1" applyAlignment="1"/>
    <xf numFmtId="0" fontId="30" fillId="12" borderId="20" xfId="0" applyFont="1" applyFill="1" applyBorder="1" applyAlignment="1"/>
    <xf numFmtId="0" fontId="30" fillId="12" borderId="21" xfId="0" applyFont="1" applyFill="1" applyBorder="1" applyAlignment="1">
      <alignment horizontal="left"/>
    </xf>
    <xf numFmtId="10" fontId="0" fillId="0" borderId="12" xfId="0" applyNumberFormat="1" applyFont="1" applyBorder="1" applyAlignment="1"/>
    <xf numFmtId="10" fontId="0" fillId="0" borderId="24" xfId="0" applyNumberFormat="1" applyFont="1" applyBorder="1" applyAlignment="1"/>
    <xf numFmtId="10" fontId="0" fillId="0" borderId="18" xfId="0" applyNumberFormat="1" applyFont="1" applyBorder="1" applyAlignment="1"/>
    <xf numFmtId="10" fontId="0" fillId="0" borderId="15" xfId="0" applyNumberFormat="1" applyFont="1" applyBorder="1" applyAlignment="1"/>
    <xf numFmtId="10" fontId="0" fillId="0" borderId="25" xfId="0" applyNumberFormat="1" applyFont="1" applyBorder="1" applyAlignment="1"/>
    <xf numFmtId="10" fontId="0" fillId="0" borderId="19" xfId="0" applyNumberFormat="1" applyFont="1" applyBorder="1" applyAlignment="1"/>
    <xf numFmtId="10" fontId="30" fillId="12" borderId="21" xfId="0" applyNumberFormat="1" applyFont="1" applyFill="1" applyBorder="1" applyAlignment="1"/>
    <xf numFmtId="10" fontId="30" fillId="12" borderId="22" xfId="0" applyNumberFormat="1" applyFont="1" applyFill="1" applyBorder="1" applyAlignment="1"/>
    <xf numFmtId="10" fontId="30" fillId="12" borderId="20" xfId="0" applyNumberFormat="1" applyFont="1" applyFill="1" applyBorder="1" applyAlignment="1"/>
    <xf numFmtId="9" fontId="30" fillId="12" borderId="21" xfId="0" applyNumberFormat="1" applyFont="1" applyFill="1" applyBorder="1" applyAlignment="1">
      <alignment horizontal="left"/>
    </xf>
    <xf numFmtId="9" fontId="30" fillId="12" borderId="22" xfId="0" applyNumberFormat="1" applyFont="1" applyFill="1" applyBorder="1" applyAlignment="1"/>
    <xf numFmtId="9" fontId="30" fillId="12" borderId="20" xfId="0" applyNumberFormat="1" applyFont="1" applyFill="1" applyBorder="1" applyAlignment="1"/>
    <xf numFmtId="9" fontId="30" fillId="12" borderId="12" xfId="0" applyNumberFormat="1" applyFont="1" applyFill="1" applyBorder="1" applyAlignment="1"/>
    <xf numFmtId="9" fontId="0" fillId="0" borderId="13" xfId="0" applyNumberFormat="1" applyFont="1" applyBorder="1" applyAlignment="1"/>
    <xf numFmtId="9" fontId="0" fillId="0" borderId="14" xfId="0" applyNumberFormat="1" applyFont="1" applyBorder="1" applyAlignment="1"/>
    <xf numFmtId="9" fontId="30" fillId="12" borderId="18" xfId="0" applyNumberFormat="1" applyFont="1" applyFill="1" applyBorder="1" applyAlignment="1"/>
    <xf numFmtId="9" fontId="0" fillId="0" borderId="12" xfId="0" applyNumberFormat="1" applyFont="1" applyBorder="1" applyAlignment="1">
      <alignment horizontal="left"/>
    </xf>
    <xf numFmtId="9" fontId="0" fillId="0" borderId="15" xfId="0" applyNumberFormat="1" applyFont="1" applyBorder="1" applyAlignment="1">
      <alignment horizontal="left"/>
    </xf>
    <xf numFmtId="0" fontId="25" fillId="0" borderId="0" xfId="0" applyFont="1" applyAlignment="1"/>
    <xf numFmtId="9" fontId="0" fillId="0" borderId="21" xfId="0" applyNumberFormat="1" applyFont="1" applyBorder="1" applyAlignment="1"/>
    <xf numFmtId="9" fontId="0" fillId="0" borderId="22" xfId="0" applyNumberFormat="1" applyFont="1" applyBorder="1" applyAlignment="1"/>
    <xf numFmtId="0" fontId="25" fillId="0" borderId="0" xfId="0" applyNumberFormat="1" applyFont="1" applyAlignment="1"/>
    <xf numFmtId="9" fontId="0" fillId="0" borderId="12" xfId="0" pivotButton="1" applyNumberFormat="1" applyFont="1" applyBorder="1" applyAlignment="1"/>
    <xf numFmtId="0" fontId="0" fillId="0" borderId="15" xfId="0" applyNumberFormat="1" applyFont="1" applyBorder="1" applyAlignment="1">
      <alignment horizontal="left"/>
    </xf>
    <xf numFmtId="9" fontId="0" fillId="0" borderId="0" xfId="0" applyNumberFormat="1" applyFont="1" applyAlignment="1"/>
    <xf numFmtId="9" fontId="27" fillId="0" borderId="0" xfId="0" applyNumberFormat="1" applyFont="1" applyAlignment="1"/>
    <xf numFmtId="0" fontId="0" fillId="0" borderId="31" xfId="0" applyNumberFormat="1" applyFont="1" applyBorder="1" applyAlignment="1"/>
    <xf numFmtId="0" fontId="0" fillId="0" borderId="32" xfId="0" applyNumberFormat="1" applyFont="1" applyBorder="1" applyAlignment="1"/>
    <xf numFmtId="0" fontId="30" fillId="12" borderId="31" xfId="0" applyFont="1" applyFill="1" applyBorder="1" applyAlignment="1"/>
    <xf numFmtId="0" fontId="27" fillId="0" borderId="21" xfId="0" applyNumberFormat="1" applyFont="1" applyBorder="1" applyAlignment="1"/>
    <xf numFmtId="0" fontId="27" fillId="0" borderId="22" xfId="0" applyNumberFormat="1" applyFont="1" applyBorder="1" applyAlignment="1"/>
    <xf numFmtId="0" fontId="27" fillId="0" borderId="33" xfId="0" applyNumberFormat="1" applyFont="1" applyBorder="1" applyAlignment="1"/>
    <xf numFmtId="166" fontId="0" fillId="0" borderId="24" xfId="0" applyNumberFormat="1" applyFont="1" applyBorder="1" applyAlignment="1"/>
    <xf numFmtId="166" fontId="0" fillId="0" borderId="31" xfId="0" applyNumberFormat="1" applyFont="1" applyBorder="1" applyAlignment="1"/>
    <xf numFmtId="166" fontId="0" fillId="0" borderId="25" xfId="0" applyNumberFormat="1" applyFont="1" applyBorder="1" applyAlignment="1"/>
    <xf numFmtId="166" fontId="0" fillId="0" borderId="32" xfId="0" applyNumberFormat="1" applyFont="1" applyBorder="1" applyAlignment="1"/>
    <xf numFmtId="166" fontId="27" fillId="0" borderId="22" xfId="0" applyNumberFormat="1" applyFont="1" applyBorder="1" applyAlignment="1"/>
    <xf numFmtId="166" fontId="27" fillId="0" borderId="33" xfId="0" applyNumberFormat="1" applyFont="1" applyBorder="1" applyAlignment="1"/>
    <xf numFmtId="166" fontId="0" fillId="0" borderId="12" xfId="0" applyNumberFormat="1" applyFont="1" applyBorder="1" applyAlignment="1"/>
    <xf numFmtId="166" fontId="0" fillId="0" borderId="15" xfId="0" applyNumberFormat="1" applyFont="1" applyBorder="1" applyAlignment="1"/>
    <xf numFmtId="166" fontId="27" fillId="0" borderId="21" xfId="0" applyNumberFormat="1" applyFont="1" applyBorder="1" applyAlignment="1"/>
    <xf numFmtId="0" fontId="34" fillId="0" borderId="21" xfId="0" applyFont="1" applyFill="1" applyBorder="1" applyAlignment="1">
      <alignment horizontal="left"/>
    </xf>
    <xf numFmtId="0" fontId="34" fillId="0" borderId="20" xfId="0" applyNumberFormat="1" applyFont="1" applyFill="1" applyBorder="1" applyAlignment="1"/>
    <xf numFmtId="0" fontId="5" fillId="0" borderId="12" xfId="0" applyFont="1" applyFill="1" applyBorder="1" applyAlignment="1"/>
    <xf numFmtId="166" fontId="0" fillId="12" borderId="21" xfId="0" applyNumberFormat="1" applyFont="1" applyFill="1" applyBorder="1" applyAlignment="1"/>
    <xf numFmtId="166" fontId="0" fillId="12" borderId="33" xfId="0" applyNumberFormat="1" applyFont="1" applyFill="1" applyBorder="1" applyAlignment="1"/>
    <xf numFmtId="166" fontId="15" fillId="13" borderId="0" xfId="1" applyNumberFormat="1" applyFont="1" applyFill="1" applyAlignment="1">
      <alignment horizontal="center" vertical="center"/>
    </xf>
    <xf numFmtId="0" fontId="28" fillId="16" borderId="0" xfId="0" applyFont="1" applyFill="1" applyAlignment="1">
      <alignment horizontal="center" vertical="top" wrapText="1"/>
    </xf>
    <xf numFmtId="0" fontId="5" fillId="0" borderId="18" xfId="0" applyFont="1" applyFill="1" applyBorder="1" applyAlignment="1"/>
    <xf numFmtId="166" fontId="5" fillId="0" borderId="12" xfId="0" applyNumberFormat="1" applyFont="1" applyFill="1" applyBorder="1" applyAlignment="1">
      <alignment horizontal="left"/>
    </xf>
    <xf numFmtId="0" fontId="5" fillId="0" borderId="18" xfId="0" applyNumberFormat="1" applyFont="1" applyFill="1" applyBorder="1" applyAlignment="1"/>
    <xf numFmtId="166" fontId="5" fillId="0" borderId="15" xfId="0" applyNumberFormat="1" applyFont="1" applyFill="1" applyBorder="1" applyAlignment="1">
      <alignment horizontal="left"/>
    </xf>
    <xf numFmtId="0" fontId="5" fillId="0" borderId="19" xfId="0" applyNumberFormat="1" applyFont="1" applyFill="1" applyBorder="1" applyAlignment="1"/>
    <xf numFmtId="0" fontId="15" fillId="13" borderId="0" xfId="1" applyNumberFormat="1" applyFont="1" applyFill="1" applyAlignment="1">
      <alignment horizontal="center" vertical="center"/>
    </xf>
    <xf numFmtId="0" fontId="28" fillId="16" borderId="17" xfId="0" applyNumberFormat="1" applyFont="1" applyFill="1" applyBorder="1" applyAlignment="1">
      <alignment horizontal="center" vertical="top" wrapText="1"/>
    </xf>
    <xf numFmtId="1" fontId="27" fillId="0" borderId="33" xfId="0" applyNumberFormat="1" applyFont="1" applyBorder="1" applyAlignment="1"/>
    <xf numFmtId="0" fontId="5" fillId="17" borderId="12" xfId="0" applyFont="1" applyFill="1" applyBorder="1" applyAlignment="1"/>
    <xf numFmtId="0" fontId="5" fillId="17" borderId="31" xfId="0" applyFont="1" applyFill="1" applyBorder="1" applyAlignment="1"/>
    <xf numFmtId="0" fontId="5" fillId="17" borderId="12" xfId="0" applyFont="1" applyFill="1" applyBorder="1" applyAlignment="1">
      <alignment horizontal="left"/>
    </xf>
    <xf numFmtId="166" fontId="5" fillId="17" borderId="12" xfId="0" applyNumberFormat="1" applyFont="1" applyFill="1" applyBorder="1" applyAlignment="1"/>
    <xf numFmtId="0" fontId="5" fillId="17" borderId="15" xfId="0" applyFont="1" applyFill="1" applyBorder="1" applyAlignment="1">
      <alignment horizontal="left"/>
    </xf>
    <xf numFmtId="0" fontId="30" fillId="12" borderId="0" xfId="0" applyFont="1" applyFill="1" applyAlignment="1"/>
    <xf numFmtId="0" fontId="27" fillId="0" borderId="20" xfId="0" applyNumberFormat="1" applyFont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0" fontId="0" fillId="0" borderId="0" xfId="0" applyFont="1" applyAlignment="1"/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0" fillId="0" borderId="0" xfId="0"/>
    <xf numFmtId="0" fontId="38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38" fillId="18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Font="1" applyAlignment="1"/>
    <xf numFmtId="0" fontId="4" fillId="2" borderId="1" xfId="0" applyFont="1" applyFill="1" applyBorder="1" applyAlignment="1">
      <alignment horizontal="left" vertical="top"/>
    </xf>
    <xf numFmtId="0" fontId="5" fillId="0" borderId="1" xfId="0" applyFont="1" applyBorder="1"/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10" fillId="0" borderId="0" xfId="0" applyFont="1" applyAlignment="1">
      <alignment horizontal="left"/>
    </xf>
    <xf numFmtId="0" fontId="13" fillId="2" borderId="0" xfId="0" applyFont="1" applyFill="1" applyAlignment="1">
      <alignment horizontal="left" vertical="center"/>
    </xf>
    <xf numFmtId="9" fontId="25" fillId="0" borderId="0" xfId="0" applyNumberFormat="1" applyFont="1" applyAlignment="1"/>
    <xf numFmtId="9" fontId="30" fillId="0" borderId="21" xfId="0" applyNumberFormat="1" applyFont="1" applyFill="1" applyBorder="1" applyAlignment="1">
      <alignment horizontal="left"/>
    </xf>
    <xf numFmtId="9" fontId="30" fillId="0" borderId="22" xfId="0" applyNumberFormat="1" applyFont="1" applyFill="1" applyBorder="1" applyAlignment="1"/>
  </cellXfs>
  <cellStyles count="2">
    <cellStyle name="Currency" xfId="1" builtinId="4"/>
    <cellStyle name="Normal" xfId="0" builtinId="0"/>
  </cellStyles>
  <dxfs count="2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/>
      </font>
    </dxf>
    <dxf>
      <font>
        <i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66" formatCode="[$₦-46A]#,##0"/>
    </dxf>
    <dxf>
      <numFmt numFmtId="167" formatCode="[$₦-46A]#,##0.0"/>
    </dxf>
    <dxf>
      <numFmt numFmtId="168" formatCode="[$₦-46A]#,##0.00"/>
    </dxf>
    <dxf>
      <numFmt numFmtId="169" formatCode="&quot;$&quot;#,##0.0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66" formatCode="[$₦-46A]#,##0"/>
    </dxf>
    <dxf>
      <numFmt numFmtId="167" formatCode="[$₦-46A]#,##0.0"/>
    </dxf>
    <dxf>
      <numFmt numFmtId="168" formatCode="[$₦-46A]#,##0.00"/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auto="1"/>
      </font>
    </dxf>
    <dxf>
      <font>
        <color auto="1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0" formatCode="General"/>
    </dxf>
    <dxf>
      <numFmt numFmtId="13" formatCode="0%"/>
    </dxf>
    <dxf>
      <numFmt numFmtId="13" formatCode="0%"/>
    </dxf>
    <dxf>
      <numFmt numFmtId="170" formatCode="0.0%"/>
    </dxf>
    <dxf>
      <numFmt numFmtId="14" formatCode="0.00%"/>
    </dxf>
    <dxf>
      <numFmt numFmtId="0" formatCode="General"/>
    </dxf>
    <dxf>
      <numFmt numFmtId="0" formatCode="General"/>
    </dxf>
    <dxf>
      <numFmt numFmtId="13" formatCode="0%"/>
    </dxf>
    <dxf>
      <numFmt numFmtId="170" formatCode="0.0%"/>
    </dxf>
    <dxf>
      <numFmt numFmtId="0" formatCode="General"/>
    </dxf>
    <dxf>
      <font>
        <color theme="0"/>
      </font>
    </dxf>
    <dxf>
      <fill>
        <patternFill>
          <bgColor theme="1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3" formatCode="0%"/>
    </dxf>
    <dxf>
      <numFmt numFmtId="13" formatCode="0%"/>
    </dxf>
    <dxf>
      <numFmt numFmtId="170" formatCode="0.0%"/>
    </dxf>
    <dxf>
      <numFmt numFmtId="170" formatCode="0.0%"/>
    </dxf>
    <dxf>
      <numFmt numFmtId="14" formatCode="0.00%"/>
    </dxf>
    <dxf>
      <numFmt numFmtId="14" formatCode="0.00%"/>
    </dxf>
    <dxf>
      <numFmt numFmtId="171" formatCode="0.000%"/>
    </dxf>
    <dxf>
      <numFmt numFmtId="171" formatCode="0.000%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4" formatCode="0.00%"/>
    </dxf>
    <dxf>
      <numFmt numFmtId="0" formatCode="General"/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numFmt numFmtId="13" formatCode="0%"/>
    </dxf>
    <dxf>
      <numFmt numFmtId="170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166" formatCode="[$₦-46A]#,##0"/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166" formatCode="[$₦-46A]#,##0"/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166" formatCode="[$₦-46A]#,##0"/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166" formatCode="[$₦-46A]#,##0"/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166" formatCode="[$₦-46A]#,##0"/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numFmt numFmtId="166" formatCode="[$₦-46A]#,##0"/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rgb="FF00FF00"/>
          <bgColor rgb="FF00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Roboto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theme="8"/>
          <bgColor theme="1"/>
        </patternFill>
      </fill>
      <alignment horizontal="center" vertical="top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3">
    <tableStyle name="Quarter 3 26.27-style" pivot="0" count="3">
      <tableStyleElement type="headerRow" dxfId="218"/>
      <tableStyleElement type="firstRowStripe" dxfId="217"/>
      <tableStyleElement type="secondRowStripe" dxfId="216"/>
    </tableStyle>
    <tableStyle name="Quarter 1 26.27-style" pivot="0" count="3">
      <tableStyleElement type="headerRow" dxfId="215"/>
      <tableStyleElement type="firstRowStripe" dxfId="214"/>
      <tableStyleElement type="secondRowStripe" dxfId="213"/>
    </tableStyle>
    <tableStyle name="Quarter 2 26.27-style" pivot="0" count="3">
      <tableStyleElement type="headerRow" dxfId="212"/>
      <tableStyleElement type="firstRowStripe" dxfId="211"/>
      <tableStyleElement type="secondRowStripe" dxfId="2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 Okikioluwa Data analysis project 1.xlsx]Attendance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attendance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'Attendance Analysis'!$J$4:$J$5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Analysis'!$J$6:$J$17</c:f>
              <c:numCache>
                <c:formatCode>0.00%</c:formatCode>
                <c:ptCount val="11"/>
                <c:pt idx="0">
                  <c:v>6.8493150684931503E-2</c:v>
                </c:pt>
                <c:pt idx="1">
                  <c:v>5.4794520547945202E-2</c:v>
                </c:pt>
                <c:pt idx="2">
                  <c:v>8.3333333333333329E-2</c:v>
                </c:pt>
                <c:pt idx="3">
                  <c:v>0.12328767123287671</c:v>
                </c:pt>
                <c:pt idx="4">
                  <c:v>0</c:v>
                </c:pt>
                <c:pt idx="5">
                  <c:v>5.4794520547945202E-2</c:v>
                </c:pt>
                <c:pt idx="6">
                  <c:v>4.1095890410958902E-2</c:v>
                </c:pt>
                <c:pt idx="7">
                  <c:v>0</c:v>
                </c:pt>
                <c:pt idx="8">
                  <c:v>1.3698630136986301E-2</c:v>
                </c:pt>
                <c:pt idx="9">
                  <c:v>1.3698630136986301E-2</c:v>
                </c:pt>
                <c:pt idx="10">
                  <c:v>5.4794520547945202E-2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B7-4EFE-A1AD-3652C57BB32A}"/>
            </c:ext>
          </c:extLst>
        </c:ser>
        <c:ser>
          <c:idx val="1"/>
          <c:order val="1"/>
          <c:tx>
            <c:strRef>
              <c:f>'Attendance Analysis'!$K$4:$K$5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Analysis'!$K$6:$K$17</c:f>
              <c:numCache>
                <c:formatCode>0.00%</c:formatCode>
                <c:ptCount val="11"/>
                <c:pt idx="0">
                  <c:v>2.7397260273972601E-2</c:v>
                </c:pt>
                <c:pt idx="1">
                  <c:v>4.1095890410958902E-2</c:v>
                </c:pt>
                <c:pt idx="2">
                  <c:v>5.5555555555555552E-2</c:v>
                </c:pt>
                <c:pt idx="3">
                  <c:v>0.13698630136986301</c:v>
                </c:pt>
                <c:pt idx="4">
                  <c:v>5.4794520547945202E-2</c:v>
                </c:pt>
                <c:pt idx="5">
                  <c:v>6.8493150684931503E-2</c:v>
                </c:pt>
                <c:pt idx="6">
                  <c:v>9.5890410958904104E-2</c:v>
                </c:pt>
                <c:pt idx="7">
                  <c:v>5.4794520547945202E-2</c:v>
                </c:pt>
                <c:pt idx="8">
                  <c:v>8.2191780821917804E-2</c:v>
                </c:pt>
                <c:pt idx="9">
                  <c:v>1.3698630136986301E-2</c:v>
                </c:pt>
                <c:pt idx="10">
                  <c:v>6.8493150684931503E-2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B7-4EFE-A1AD-3652C57BB32A}"/>
            </c:ext>
          </c:extLst>
        </c:ser>
        <c:ser>
          <c:idx val="2"/>
          <c:order val="2"/>
          <c:tx>
            <c:strRef>
              <c:f>'Attendance Analysis'!$L$4:$L$5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Analysis'!$L$6:$L$17</c:f>
              <c:numCache>
                <c:formatCode>0.00%</c:formatCode>
                <c:ptCount val="11"/>
                <c:pt idx="0">
                  <c:v>0.72602739726027399</c:v>
                </c:pt>
                <c:pt idx="1">
                  <c:v>0.72602739726027399</c:v>
                </c:pt>
                <c:pt idx="2">
                  <c:v>0.73611111111111116</c:v>
                </c:pt>
                <c:pt idx="3">
                  <c:v>0.65753424657534243</c:v>
                </c:pt>
                <c:pt idx="4">
                  <c:v>0.84931506849315064</c:v>
                </c:pt>
                <c:pt idx="5">
                  <c:v>0.64383561643835618</c:v>
                </c:pt>
                <c:pt idx="6">
                  <c:v>0.73972602739726023</c:v>
                </c:pt>
                <c:pt idx="7">
                  <c:v>0.84931506849315064</c:v>
                </c:pt>
                <c:pt idx="8">
                  <c:v>0.69863013698630139</c:v>
                </c:pt>
                <c:pt idx="9">
                  <c:v>0.73972602739726023</c:v>
                </c:pt>
                <c:pt idx="10">
                  <c:v>0.69863013698630139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B7-4EFE-A1AD-3652C57BB32A}"/>
            </c:ext>
          </c:extLst>
        </c:ser>
        <c:ser>
          <c:idx val="3"/>
          <c:order val="3"/>
          <c:tx>
            <c:strRef>
              <c:f>'Attendance Analysis'!$M$4:$M$5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Analysis'!$M$6:$M$17</c:f>
              <c:numCache>
                <c:formatCode>0.00%</c:formatCode>
                <c:ptCount val="11"/>
                <c:pt idx="0">
                  <c:v>0.17808219178082191</c:v>
                </c:pt>
                <c:pt idx="1">
                  <c:v>0.17808219178082191</c:v>
                </c:pt>
                <c:pt idx="2">
                  <c:v>0.125</c:v>
                </c:pt>
                <c:pt idx="3">
                  <c:v>8.2191780821917804E-2</c:v>
                </c:pt>
                <c:pt idx="4">
                  <c:v>9.5890410958904104E-2</c:v>
                </c:pt>
                <c:pt idx="5">
                  <c:v>0.23287671232876711</c:v>
                </c:pt>
                <c:pt idx="6">
                  <c:v>0.12328767123287671</c:v>
                </c:pt>
                <c:pt idx="7">
                  <c:v>9.5890410958904104E-2</c:v>
                </c:pt>
                <c:pt idx="8">
                  <c:v>0.20547945205479451</c:v>
                </c:pt>
                <c:pt idx="9">
                  <c:v>0.23287671232876711</c:v>
                </c:pt>
                <c:pt idx="10">
                  <c:v>0.17808219178082191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B7-4EFE-A1AD-3652C57BB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12047"/>
        <c:axId val="1055916623"/>
      </c:lineChart>
      <c:catAx>
        <c:axId val="1055912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Meeting 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16623"/>
        <c:crosses val="autoZero"/>
        <c:auto val="1"/>
        <c:lblAlgn val="ctr"/>
        <c:lblOffset val="100"/>
        <c:noMultiLvlLbl val="0"/>
      </c:catAx>
      <c:valAx>
        <c:axId val="10559166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75000"/>
                  <a:alpha val="6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1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 Okikioluwa Data analysis project 1.xlsx]Fines 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fines vs Paid</a:t>
            </a:r>
            <a:r>
              <a:rPr lang="en-US" baseline="0"/>
              <a:t> fines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'Fines Analysis'!$B$3</c:f>
              <c:strCache>
                <c:ptCount val="1"/>
                <c:pt idx="0">
                  <c:v>Members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Analysis'!$B$4:$B$7</c:f>
              <c:numCache>
                <c:formatCode>General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8-4A71-A866-1A171C2F8F55}"/>
            </c:ext>
          </c:extLst>
        </c:ser>
        <c:ser>
          <c:idx val="1"/>
          <c:order val="1"/>
          <c:tx>
            <c:strRef>
              <c:f>'Fines Analysis'!$C$3</c:f>
              <c:strCache>
                <c:ptCount val="1"/>
                <c:pt idx="0">
                  <c:v>Late amount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Analysis'!$C$4:$C$7</c:f>
              <c:numCache>
                <c:formatCode>[$₦-46A]#,##0</c:formatCode>
                <c:ptCount val="3"/>
                <c:pt idx="0">
                  <c:v>0</c:v>
                </c:pt>
                <c:pt idx="1">
                  <c:v>2700</c:v>
                </c:pt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8-4A71-A866-1A171C2F8F55}"/>
            </c:ext>
          </c:extLst>
        </c:ser>
        <c:ser>
          <c:idx val="2"/>
          <c:order val="2"/>
          <c:tx>
            <c:strRef>
              <c:f>'Fines Analysis'!$D$3</c:f>
              <c:strCache>
                <c:ptCount val="1"/>
                <c:pt idx="0">
                  <c:v>Excused Absence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Analysis'!$D$4:$D$7</c:f>
              <c:numCache>
                <c:formatCode>[$₦-46A]#,##0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8-4A71-A866-1A171C2F8F55}"/>
            </c:ext>
          </c:extLst>
        </c:ser>
        <c:ser>
          <c:idx val="3"/>
          <c:order val="3"/>
          <c:tx>
            <c:strRef>
              <c:f>'Fines Analysis'!$E$3</c:f>
              <c:strCache>
                <c:ptCount val="1"/>
                <c:pt idx="0">
                  <c:v>Unexcused absence amount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Analysis'!$E$4:$E$7</c:f>
              <c:numCache>
                <c:formatCode>[$₦-46A]#,##0</c:formatCode>
                <c:ptCount val="3"/>
                <c:pt idx="0">
                  <c:v>0</c:v>
                </c:pt>
                <c:pt idx="1">
                  <c:v>12000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8-4A71-A866-1A171C2F8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7696"/>
        <c:axId val="14656848"/>
      </c:barChart>
      <c:catAx>
        <c:axId val="146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848"/>
        <c:crosses val="autoZero"/>
        <c:auto val="1"/>
        <c:lblAlgn val="ctr"/>
        <c:lblOffset val="100"/>
        <c:noMultiLvlLbl val="0"/>
      </c:catAx>
      <c:valAx>
        <c:axId val="146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75000"/>
                  <a:alpha val="5000"/>
                </a:schemeClr>
              </a:solidFill>
              <a:round/>
            </a:ln>
            <a:effectLst/>
          </c:spPr>
        </c:majorGridlines>
        <c:numFmt formatCode="[$₦-46A]#,##0;[Red]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6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 Okikioluwa Data analysis project 1.xlsx]Fines 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fines vs Paid</a:t>
            </a:r>
            <a:r>
              <a:rPr lang="en-US" baseline="0"/>
              <a:t> fines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'Fines Analysis'!$B$3</c:f>
              <c:strCache>
                <c:ptCount val="1"/>
                <c:pt idx="0">
                  <c:v>Members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Analysis'!$B$4:$B$7</c:f>
              <c:numCache>
                <c:formatCode>General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C-433E-8EF6-284C51D2DDE0}"/>
            </c:ext>
          </c:extLst>
        </c:ser>
        <c:ser>
          <c:idx val="1"/>
          <c:order val="1"/>
          <c:tx>
            <c:strRef>
              <c:f>'Fines Analysis'!$C$3</c:f>
              <c:strCache>
                <c:ptCount val="1"/>
                <c:pt idx="0">
                  <c:v>Late amount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Analysis'!$C$4:$C$7</c:f>
              <c:numCache>
                <c:formatCode>[$₦-46A]#,##0</c:formatCode>
                <c:ptCount val="3"/>
                <c:pt idx="0">
                  <c:v>0</c:v>
                </c:pt>
                <c:pt idx="1">
                  <c:v>2700</c:v>
                </c:pt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C-433E-8EF6-284C51D2DDE0}"/>
            </c:ext>
          </c:extLst>
        </c:ser>
        <c:ser>
          <c:idx val="2"/>
          <c:order val="2"/>
          <c:tx>
            <c:strRef>
              <c:f>'Fines Analysis'!$D$3</c:f>
              <c:strCache>
                <c:ptCount val="1"/>
                <c:pt idx="0">
                  <c:v>Excused Absence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Analysis'!$D$4:$D$7</c:f>
              <c:numCache>
                <c:formatCode>[$₦-46A]#,##0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C-433E-8EF6-284C51D2DDE0}"/>
            </c:ext>
          </c:extLst>
        </c:ser>
        <c:ser>
          <c:idx val="3"/>
          <c:order val="3"/>
          <c:tx>
            <c:strRef>
              <c:f>'Fines Analysis'!$E$3</c:f>
              <c:strCache>
                <c:ptCount val="1"/>
                <c:pt idx="0">
                  <c:v>Unexcused absence amount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'Fines Analysis'!$A$4:$A$7</c:f>
              <c:strCache>
                <c:ptCount val="3"/>
                <c:pt idx="0">
                  <c:v>Not owing</c:v>
                </c:pt>
                <c:pt idx="1">
                  <c:v>Paid</c:v>
                </c:pt>
                <c:pt idx="2">
                  <c:v>Reached out to</c:v>
                </c:pt>
              </c:strCache>
            </c:strRef>
          </c:cat>
          <c:val>
            <c:numRef>
              <c:f>'Fines Analysis'!$E$4:$E$7</c:f>
              <c:numCache>
                <c:formatCode>[$₦-46A]#,##0</c:formatCode>
                <c:ptCount val="3"/>
                <c:pt idx="0">
                  <c:v>0</c:v>
                </c:pt>
                <c:pt idx="1">
                  <c:v>12000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CC-433E-8EF6-284C51D2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7696"/>
        <c:axId val="14656848"/>
      </c:barChart>
      <c:catAx>
        <c:axId val="146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848"/>
        <c:crosses val="autoZero"/>
        <c:auto val="1"/>
        <c:lblAlgn val="ctr"/>
        <c:lblOffset val="100"/>
        <c:noMultiLvlLbl val="0"/>
      </c:catAx>
      <c:valAx>
        <c:axId val="146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75000"/>
                  <a:alpha val="5000"/>
                </a:schemeClr>
              </a:solidFill>
              <a:round/>
            </a:ln>
            <a:effectLst/>
          </c:spPr>
        </c:majorGridlines>
        <c:numFmt formatCode="[$₦-46A]#,##0;[Red]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6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[Dasho Okikioluwa Data analysis project 1.xlsx]Attendance 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attendance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'Attendance Analysis'!$J$4:$J$5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Analysis'!$J$6:$J$17</c:f>
              <c:numCache>
                <c:formatCode>0.00%</c:formatCode>
                <c:ptCount val="11"/>
                <c:pt idx="0">
                  <c:v>6.8493150684931503E-2</c:v>
                </c:pt>
                <c:pt idx="1">
                  <c:v>5.4794520547945202E-2</c:v>
                </c:pt>
                <c:pt idx="2">
                  <c:v>8.3333333333333329E-2</c:v>
                </c:pt>
                <c:pt idx="3">
                  <c:v>0.12328767123287671</c:v>
                </c:pt>
                <c:pt idx="4">
                  <c:v>0</c:v>
                </c:pt>
                <c:pt idx="5">
                  <c:v>5.4794520547945202E-2</c:v>
                </c:pt>
                <c:pt idx="6">
                  <c:v>4.1095890410958902E-2</c:v>
                </c:pt>
                <c:pt idx="7">
                  <c:v>0</c:v>
                </c:pt>
                <c:pt idx="8">
                  <c:v>1.3698630136986301E-2</c:v>
                </c:pt>
                <c:pt idx="9">
                  <c:v>1.3698630136986301E-2</c:v>
                </c:pt>
                <c:pt idx="10">
                  <c:v>5.4794520547945202E-2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6-4E93-B6E6-E3F823ED3AAC}"/>
            </c:ext>
          </c:extLst>
        </c:ser>
        <c:ser>
          <c:idx val="1"/>
          <c:order val="1"/>
          <c:tx>
            <c:strRef>
              <c:f>'Attendance Analysis'!$K$4:$K$5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Analysis'!$K$6:$K$17</c:f>
              <c:numCache>
                <c:formatCode>0.00%</c:formatCode>
                <c:ptCount val="11"/>
                <c:pt idx="0">
                  <c:v>2.7397260273972601E-2</c:v>
                </c:pt>
                <c:pt idx="1">
                  <c:v>4.1095890410958902E-2</c:v>
                </c:pt>
                <c:pt idx="2">
                  <c:v>5.5555555555555552E-2</c:v>
                </c:pt>
                <c:pt idx="3">
                  <c:v>0.13698630136986301</c:v>
                </c:pt>
                <c:pt idx="4">
                  <c:v>5.4794520547945202E-2</c:v>
                </c:pt>
                <c:pt idx="5">
                  <c:v>6.8493150684931503E-2</c:v>
                </c:pt>
                <c:pt idx="6">
                  <c:v>9.5890410958904104E-2</c:v>
                </c:pt>
                <c:pt idx="7">
                  <c:v>5.4794520547945202E-2</c:v>
                </c:pt>
                <c:pt idx="8">
                  <c:v>8.2191780821917804E-2</c:v>
                </c:pt>
                <c:pt idx="9">
                  <c:v>1.3698630136986301E-2</c:v>
                </c:pt>
                <c:pt idx="10">
                  <c:v>6.8493150684931503E-2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6-4E93-B6E6-E3F823ED3AAC}"/>
            </c:ext>
          </c:extLst>
        </c:ser>
        <c:ser>
          <c:idx val="2"/>
          <c:order val="2"/>
          <c:tx>
            <c:strRef>
              <c:f>'Attendance Analysis'!$L$4:$L$5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Analysis'!$L$6:$L$17</c:f>
              <c:numCache>
                <c:formatCode>0.00%</c:formatCode>
                <c:ptCount val="11"/>
                <c:pt idx="0">
                  <c:v>0.72602739726027399</c:v>
                </c:pt>
                <c:pt idx="1">
                  <c:v>0.72602739726027399</c:v>
                </c:pt>
                <c:pt idx="2">
                  <c:v>0.73611111111111116</c:v>
                </c:pt>
                <c:pt idx="3">
                  <c:v>0.65753424657534243</c:v>
                </c:pt>
                <c:pt idx="4">
                  <c:v>0.84931506849315064</c:v>
                </c:pt>
                <c:pt idx="5">
                  <c:v>0.64383561643835618</c:v>
                </c:pt>
                <c:pt idx="6">
                  <c:v>0.73972602739726023</c:v>
                </c:pt>
                <c:pt idx="7">
                  <c:v>0.84931506849315064</c:v>
                </c:pt>
                <c:pt idx="8">
                  <c:v>0.69863013698630139</c:v>
                </c:pt>
                <c:pt idx="9">
                  <c:v>0.73972602739726023</c:v>
                </c:pt>
                <c:pt idx="10">
                  <c:v>0.69863013698630139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F6-4E93-B6E6-E3F823ED3AAC}"/>
            </c:ext>
          </c:extLst>
        </c:ser>
        <c:ser>
          <c:idx val="3"/>
          <c:order val="3"/>
          <c:tx>
            <c:strRef>
              <c:f>'Attendance Analysis'!$M$4:$M$5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'Attendance Analysis'!$I$6:$I$17</c:f>
              <c:strCache>
                <c:ptCount val="11"/>
                <c:pt idx="0">
                  <c:v>July 12th</c:v>
                </c:pt>
                <c:pt idx="1">
                  <c:v>July 19th</c:v>
                </c:pt>
                <c:pt idx="2">
                  <c:v>July 5th</c:v>
                </c:pt>
                <c:pt idx="3">
                  <c:v>June 14th</c:v>
                </c:pt>
                <c:pt idx="4">
                  <c:v>June 21st</c:v>
                </c:pt>
                <c:pt idx="5">
                  <c:v>June 28th</c:v>
                </c:pt>
                <c:pt idx="6">
                  <c:v>June 7th</c:v>
                </c:pt>
                <c:pt idx="7">
                  <c:v>May 10th</c:v>
                </c:pt>
                <c:pt idx="8">
                  <c:v>May 17th</c:v>
                </c:pt>
                <c:pt idx="9">
                  <c:v>May 24th</c:v>
                </c:pt>
                <c:pt idx="10">
                  <c:v>May 31st</c:v>
                </c:pt>
              </c:strCache>
            </c:strRef>
          </c:cat>
          <c:val>
            <c:numRef>
              <c:f>'Attendance Analysis'!$M$6:$M$17</c:f>
              <c:numCache>
                <c:formatCode>0.00%</c:formatCode>
                <c:ptCount val="11"/>
                <c:pt idx="0">
                  <c:v>0.17808219178082191</c:v>
                </c:pt>
                <c:pt idx="1">
                  <c:v>0.17808219178082191</c:v>
                </c:pt>
                <c:pt idx="2">
                  <c:v>0.125</c:v>
                </c:pt>
                <c:pt idx="3">
                  <c:v>8.2191780821917804E-2</c:v>
                </c:pt>
                <c:pt idx="4">
                  <c:v>9.5890410958904104E-2</c:v>
                </c:pt>
                <c:pt idx="5">
                  <c:v>0.23287671232876711</c:v>
                </c:pt>
                <c:pt idx="6">
                  <c:v>0.12328767123287671</c:v>
                </c:pt>
                <c:pt idx="7">
                  <c:v>9.5890410958904104E-2</c:v>
                </c:pt>
                <c:pt idx="8">
                  <c:v>0.20547945205479451</c:v>
                </c:pt>
                <c:pt idx="9">
                  <c:v>0.23287671232876711</c:v>
                </c:pt>
                <c:pt idx="10">
                  <c:v>0.17808219178082191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F6-4E93-B6E6-E3F823ED3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12047"/>
        <c:axId val="1055916623"/>
      </c:lineChart>
      <c:catAx>
        <c:axId val="1055912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Meeting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16623"/>
        <c:crosses val="autoZero"/>
        <c:auto val="1"/>
        <c:lblAlgn val="ctr"/>
        <c:lblOffset val="100"/>
        <c:noMultiLvlLbl val="0"/>
      </c:catAx>
      <c:valAx>
        <c:axId val="10559166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75000"/>
                  <a:alpha val="6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1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Attendance rate distribution</a:t>
            </a:r>
          </a:p>
        </cx:rich>
      </cx:tx>
    </cx:title>
    <cx:plotArea>
      <cx:plotAreaRegion>
        <cx:series layoutId="clusteredColumn" uniqueId="{46A86794-BE9D-4F4E-9DBC-98E63C2D4F22}">
          <cx:spPr>
            <a:solidFill>
              <a:srgbClr val="00B050"/>
            </a:solidFill>
          </cx:spPr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/>
        <cx:tickLabels/>
      </cx:axis>
      <cx:axis id="1">
        <cx:valScaling/>
        <cx:title/>
        <cx:majorGridlines>
          <cx:spPr>
            <a:ln>
              <a:solidFill>
                <a:schemeClr val="accent1">
                  <a:alpha val="5000"/>
                </a:schemeClr>
              </a:solidFill>
            </a:ln>
          </cx:spPr>
        </cx:majorGridlines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_xlchart.v1.15</cx:f>
      </cx:numDim>
    </cx:data>
    <cx:data id="2">
      <cx:numDim type="val">
        <cx:f>_xlchart.v1.16</cx:f>
      </cx:numDim>
    </cx:data>
    <cx:data id="3">
      <cx:numDim type="val">
        <cx:f>_xlchart.v1.18</cx:f>
      </cx:numDim>
    </cx:data>
    <cx:data id="4">
      <cx:numDim type="val">
        <cx:f>_xlchart.v1.19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Attendance distribution</a:t>
            </a:r>
          </a:p>
        </cx:rich>
      </cx:tx>
    </cx:title>
    <cx:plotArea>
      <cx:plotAreaRegion>
        <cx:series layoutId="clusteredColumn" uniqueId="{78FB069C-F035-41F4-A91F-09BCFECDE599}" formatIdx="0">
          <cx:spPr>
            <a:solidFill>
              <a:srgbClr val="00B050"/>
            </a:solidFill>
          </cx:spPr>
          <cx:dataId val="0"/>
          <cx:layoutPr>
            <cx:binning intervalClosed="r">
              <cx:binSize val="0.10000000000000001"/>
            </cx:binning>
          </cx:layoutPr>
        </cx:series>
        <cx:series layoutId="clusteredColumn" hidden="1" uniqueId="{00000001-7E93-4C2E-AF9A-5DB12F0FBA06}" formatIdx="2">
          <cx:tx>
            <cx:txData>
              <cx:f>_xlchart.v1.11</cx:f>
              <cx:v>Mean</cx:v>
            </cx:txData>
          </cx:tx>
          <cx:dataId val="1"/>
          <cx:layoutPr>
            <cx:binning intervalClosed="r"/>
          </cx:layoutPr>
        </cx:series>
        <cx:series layoutId="clusteredColumn" hidden="1" uniqueId="{00000002-7E93-4C2E-AF9A-5DB12F0FBA06}" formatIdx="0">
          <cx:tx>
            <cx:txData>
              <cx:f>_xlchart.v1.12</cx:f>
              <cx:v>Median</cx:v>
            </cx:txData>
          </cx:tx>
          <cx:dataId val="2"/>
          <cx:layoutPr>
            <cx:binning intervalClosed="r"/>
          </cx:layoutPr>
        </cx:series>
        <cx:series layoutId="clusteredColumn" hidden="1" uniqueId="{00000003-7E93-4C2E-AF9A-5DB12F0FBA06}" formatIdx="0">
          <cx:tx>
            <cx:txData>
              <cx:f>_xlchart.v1.13</cx:f>
              <cx:v>Mode</cx:v>
            </cx:txData>
          </cx:tx>
          <cx:dataId val="3"/>
          <cx:layoutPr>
            <cx:binning intervalClosed="r"/>
          </cx:layoutPr>
        </cx:series>
        <cx:series layoutId="clusteredColumn" hidden="1" uniqueId="{00000004-7E93-4C2E-AF9A-5DB12F0FBA06}" formatIdx="0">
          <cx:tx>
            <cx:txData>
              <cx:f>_xlchart.v1.14</cx:f>
              <cx:v>Standard deviation</cx:v>
            </cx:txData>
          </cx:tx>
          <cx:dataId val="4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solidFill>
                <a:srgbClr val="FF0000">
                  <a:alpha val="4000"/>
                </a:srgbClr>
              </a:solidFill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103933</xdr:colOff>
      <xdr:row>17</xdr:row>
      <xdr:rowOff>103654</xdr:rowOff>
    </xdr:from>
    <xdr:to>
      <xdr:col>13</xdr:col>
      <xdr:colOff>570658</xdr:colOff>
      <xdr:row>34</xdr:row>
      <xdr:rowOff>94129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291352</xdr:colOff>
      <xdr:row>34</xdr:row>
      <xdr:rowOff>134470</xdr:rowOff>
    </xdr:from>
    <xdr:to>
      <xdr:col>13</xdr:col>
      <xdr:colOff>605117</xdr:colOff>
      <xdr:row>49</xdr:row>
      <xdr:rowOff>15688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23813</xdr:colOff>
      <xdr:row>7</xdr:row>
      <xdr:rowOff>66674</xdr:rowOff>
    </xdr:from>
    <xdr:to>
      <xdr:col>4</xdr:col>
      <xdr:colOff>1647825</xdr:colOff>
      <xdr:row>22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285750</xdr:colOff>
      <xdr:row>13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0</xdr:row>
      <xdr:rowOff>0</xdr:rowOff>
    </xdr:from>
    <xdr:to>
      <xdr:col>12</xdr:col>
      <xdr:colOff>58831</xdr:colOff>
      <xdr:row>13</xdr:row>
      <xdr:rowOff>129429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266700</xdr:colOff>
      <xdr:row>28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72.531020138886" createdVersion="6" refreshedVersion="6" minRefreshableVersion="3" recordCount="802">
  <cacheSource type="worksheet">
    <worksheetSource name="Table4_2"/>
  </cacheSource>
  <cacheFields count="8">
    <cacheField name="Members" numFmtId="0">
      <sharedItems count="73">
        <s v="Abisola"/>
        <s v="Adeola"/>
        <s v="Bayo"/>
        <s v="Dariel"/>
        <s v="Daniel"/>
        <s v="David"/>
        <s v="Deborah"/>
        <s v="Dunamis"/>
        <s v="Ebuka"/>
        <s v="Eli"/>
        <s v="Ella"/>
        <s v="Esther"/>
        <s v="Emma"/>
        <s v="Eni"/>
        <s v="Faith"/>
        <s v="Fawaz"/>
        <s v="Feranmi"/>
        <s v="Fisayo"/>
        <s v="Funmi"/>
        <s v="Grace"/>
        <s v="Great"/>
        <s v="Hadassah"/>
        <s v="Haddy"/>
        <s v="Hikmah"/>
        <s v="Idowu"/>
        <s v="Idunnu"/>
        <s v="Ife"/>
        <s v="Israel"/>
        <s v="Joel"/>
        <s v="John"/>
        <s v="Johnson"/>
        <s v="Josephine"/>
        <s v="Josh"/>
        <s v="Joy"/>
        <s v="Kamal"/>
        <s v="Kemi"/>
        <s v="Kenny"/>
        <s v="Kiekie"/>
        <s v="Lanre"/>
        <s v="Layo"/>
        <s v="Lore"/>
        <s v="Marvelous"/>
        <s v="Micheal"/>
        <s v="Moses"/>
        <s v="Ola"/>
        <s v="Ore"/>
        <s v="Paul"/>
        <s v="Phebe"/>
        <s v="Praise"/>
        <s v="Peace"/>
        <s v="Precious"/>
        <s v="Raheem"/>
        <s v="Robor"/>
        <s v="Sam"/>
        <s v="Seyii"/>
        <s v="Sola"/>
        <s v="Sope"/>
        <s v="Stella"/>
        <s v="Suyi"/>
        <s v="Taiwo"/>
        <s v="Tayo"/>
        <s v="Temi"/>
        <s v="Theo"/>
        <s v="Timi"/>
        <s v="Tomi"/>
        <s v="Tobi"/>
        <s v="Tobia"/>
        <s v="Tofunmi"/>
        <s v="Tolu"/>
        <s v="Vic"/>
        <s v="Victor"/>
        <s v="Yemi"/>
        <s v="Zain"/>
      </sharedItems>
    </cacheField>
    <cacheField name="Gender" numFmtId="0">
      <sharedItems count="2">
        <s v="F"/>
        <s v="M"/>
      </sharedItems>
    </cacheField>
    <cacheField name="Status" numFmtId="0">
      <sharedItems/>
    </cacheField>
    <cacheField name="Late" numFmtId="0">
      <sharedItems containsSemiMixedTypes="0" containsString="0" containsNumber="1" containsInteger="1" minValue="0" maxValue="1500"/>
    </cacheField>
    <cacheField name="Excused Absence" numFmtId="0">
      <sharedItems containsSemiMixedTypes="0" containsString="0" containsNumber="1" containsInteger="1" minValue="0" maxValue="0"/>
    </cacheField>
    <cacheField name="Unexcused Absence" numFmtId="0">
      <sharedItems containsSemiMixedTypes="0" containsString="0" containsNumber="1" containsInteger="1" minValue="0" maxValue="4000"/>
    </cacheField>
    <cacheField name="Attribute" numFmtId="0">
      <sharedItems count="11">
        <s v="May 10th"/>
        <s v="May 17th"/>
        <s v="May 24th"/>
        <s v="May 31st"/>
        <s v="June 7th"/>
        <s v="June 14th"/>
        <s v="June 21st"/>
        <s v="June 28th"/>
        <s v="July 5th"/>
        <s v="July 12th"/>
        <s v="July 19th"/>
      </sharedItems>
    </cacheField>
    <cacheField name="Value" numFmtId="0">
      <sharedItems count="4">
        <s v="P"/>
        <s v="U"/>
        <s v="E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72.566665740742" createdVersion="6" refreshedVersion="6" minRefreshableVersion="3" recordCount="73">
  <cacheSource type="worksheet">
    <worksheetSource name="Table4"/>
  </cacheSource>
  <cacheFields count="20">
    <cacheField name="Members" numFmtId="0">
      <sharedItems count="73">
        <s v="Abisola"/>
        <s v="Adeola"/>
        <s v="Bayo"/>
        <s v="Daniel"/>
        <s v="Dariel"/>
        <s v="David"/>
        <s v="Deborah"/>
        <s v="Dunamis"/>
        <s v="Ebuka"/>
        <s v="Eli"/>
        <s v="Ella"/>
        <s v="Emma"/>
        <s v="Eni"/>
        <s v="Esther"/>
        <s v="Faith"/>
        <s v="Fawaz"/>
        <s v="Feranmi"/>
        <s v="Fisayo"/>
        <s v="Funmi"/>
        <s v="Grace"/>
        <s v="Great"/>
        <s v="Hadassah"/>
        <s v="Haddy"/>
        <s v="Hikmah"/>
        <s v="Idowu"/>
        <s v="Idunnu"/>
        <s v="Ife"/>
        <s v="Israel"/>
        <s v="Joel"/>
        <s v="John"/>
        <s v="Johnson"/>
        <s v="Josephine"/>
        <s v="Josh"/>
        <s v="Joy"/>
        <s v="Kamal"/>
        <s v="Kemi"/>
        <s v="Kenny"/>
        <s v="Kiekie"/>
        <s v="Lanre"/>
        <s v="Layo"/>
        <s v="Lore"/>
        <s v="Marvelous"/>
        <s v="Micheal"/>
        <s v="Moses"/>
        <s v="Ola"/>
        <s v="Ore"/>
        <s v="Paul"/>
        <s v="Peace"/>
        <s v="Phebe"/>
        <s v="Praise"/>
        <s v="Precious"/>
        <s v="Raheem"/>
        <s v="Robor"/>
        <s v="Sam"/>
        <s v="Seyii"/>
        <s v="Sola"/>
        <s v="Sope"/>
        <s v="Stella"/>
        <s v="Suyi"/>
        <s v="Taiwo"/>
        <s v="Tayo"/>
        <s v="Temi"/>
        <s v="Theo"/>
        <s v="Timi"/>
        <s v="Tobi"/>
        <s v="Tobia"/>
        <s v="Tofunmi"/>
        <s v="Tolu"/>
        <s v="Tomi"/>
        <s v="Vic"/>
        <s v="Victor"/>
        <s v="Yemi"/>
        <s v="Zain"/>
      </sharedItems>
    </cacheField>
    <cacheField name="Gender" numFmtId="0">
      <sharedItems count="2">
        <s v="F"/>
        <s v="M"/>
      </sharedItems>
    </cacheField>
    <cacheField name="May 10th" numFmtId="0">
      <sharedItems/>
    </cacheField>
    <cacheField name="May 17th" numFmtId="0">
      <sharedItems/>
    </cacheField>
    <cacheField name="May 24th" numFmtId="0">
      <sharedItems/>
    </cacheField>
    <cacheField name="May 31st" numFmtId="0">
      <sharedItems/>
    </cacheField>
    <cacheField name="June 7th" numFmtId="0">
      <sharedItems/>
    </cacheField>
    <cacheField name="June 14th" numFmtId="0">
      <sharedItems/>
    </cacheField>
    <cacheField name="June 21st" numFmtId="0">
      <sharedItems/>
    </cacheField>
    <cacheField name="June 28th" numFmtId="0">
      <sharedItems/>
    </cacheField>
    <cacheField name="July 5th" numFmtId="0">
      <sharedItems containsBlank="1"/>
    </cacheField>
    <cacheField name="July 12th" numFmtId="0">
      <sharedItems/>
    </cacheField>
    <cacheField name="July 19th" numFmtId="0">
      <sharedItems/>
    </cacheField>
    <cacheField name="Status" numFmtId="0">
      <sharedItems count="3">
        <s v="Paid"/>
        <s v="Not owing"/>
        <s v="Reached out to"/>
      </sharedItems>
    </cacheField>
    <cacheField name="Late" numFmtId="166">
      <sharedItems containsSemiMixedTypes="0" containsString="0" containsNumber="1" containsInteger="1" minValue="0" maxValue="1500"/>
    </cacheField>
    <cacheField name="Excused Absence" numFmtId="166">
      <sharedItems containsSemiMixedTypes="0" containsString="0" containsNumber="1" containsInteger="1" minValue="0" maxValue="0"/>
    </cacheField>
    <cacheField name="Unexcused Absence" numFmtId="166">
      <sharedItems containsSemiMixedTypes="0" containsString="0" containsNumber="1" containsInteger="1" minValue="0" maxValue="4000"/>
    </cacheField>
    <cacheField name="Amount" numFmtId="166">
      <sharedItems containsSemiMixedTypes="0" containsString="0" containsNumber="1" containsInteger="1" minValue="0" maxValue="4600"/>
    </cacheField>
    <cacheField name="Unexcused Absence count" numFmtId="0">
      <sharedItems containsSemiMixedTypes="0" containsString="0" containsNumber="1" containsInteger="1" minValue="0" maxValue="8"/>
    </cacheField>
    <cacheField name="Has Unexcused?" numFmtId="166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2">
  <r>
    <x v="0"/>
    <x v="0"/>
    <s v="Paid"/>
    <n v="0"/>
    <n v="0"/>
    <n v="1000"/>
    <x v="0"/>
    <x v="0"/>
  </r>
  <r>
    <x v="0"/>
    <x v="0"/>
    <s v="Paid"/>
    <n v="0"/>
    <n v="0"/>
    <n v="1000"/>
    <x v="1"/>
    <x v="0"/>
  </r>
  <r>
    <x v="0"/>
    <x v="0"/>
    <s v="Paid"/>
    <n v="0"/>
    <n v="0"/>
    <n v="1000"/>
    <x v="2"/>
    <x v="1"/>
  </r>
  <r>
    <x v="0"/>
    <x v="0"/>
    <s v="Paid"/>
    <n v="0"/>
    <n v="0"/>
    <n v="1000"/>
    <x v="3"/>
    <x v="0"/>
  </r>
  <r>
    <x v="0"/>
    <x v="0"/>
    <s v="Paid"/>
    <n v="0"/>
    <n v="0"/>
    <n v="1000"/>
    <x v="4"/>
    <x v="0"/>
  </r>
  <r>
    <x v="0"/>
    <x v="0"/>
    <s v="Paid"/>
    <n v="0"/>
    <n v="0"/>
    <n v="1000"/>
    <x v="5"/>
    <x v="0"/>
  </r>
  <r>
    <x v="0"/>
    <x v="0"/>
    <s v="Paid"/>
    <n v="0"/>
    <n v="0"/>
    <n v="1000"/>
    <x v="6"/>
    <x v="0"/>
  </r>
  <r>
    <x v="0"/>
    <x v="0"/>
    <s v="Paid"/>
    <n v="0"/>
    <n v="0"/>
    <n v="1000"/>
    <x v="7"/>
    <x v="0"/>
  </r>
  <r>
    <x v="0"/>
    <x v="0"/>
    <s v="Paid"/>
    <n v="0"/>
    <n v="0"/>
    <n v="1000"/>
    <x v="8"/>
    <x v="0"/>
  </r>
  <r>
    <x v="0"/>
    <x v="0"/>
    <s v="Paid"/>
    <n v="0"/>
    <n v="0"/>
    <n v="1000"/>
    <x v="9"/>
    <x v="1"/>
  </r>
  <r>
    <x v="0"/>
    <x v="0"/>
    <s v="Paid"/>
    <n v="0"/>
    <n v="0"/>
    <n v="1000"/>
    <x v="10"/>
    <x v="0"/>
  </r>
  <r>
    <x v="1"/>
    <x v="0"/>
    <s v="Not owing"/>
    <n v="0"/>
    <n v="0"/>
    <n v="0"/>
    <x v="0"/>
    <x v="0"/>
  </r>
  <r>
    <x v="1"/>
    <x v="0"/>
    <s v="Not owing"/>
    <n v="0"/>
    <n v="0"/>
    <n v="0"/>
    <x v="1"/>
    <x v="0"/>
  </r>
  <r>
    <x v="1"/>
    <x v="0"/>
    <s v="Not owing"/>
    <n v="0"/>
    <n v="0"/>
    <n v="0"/>
    <x v="2"/>
    <x v="0"/>
  </r>
  <r>
    <x v="1"/>
    <x v="0"/>
    <s v="Not owing"/>
    <n v="0"/>
    <n v="0"/>
    <n v="0"/>
    <x v="3"/>
    <x v="0"/>
  </r>
  <r>
    <x v="1"/>
    <x v="0"/>
    <s v="Not owing"/>
    <n v="0"/>
    <n v="0"/>
    <n v="0"/>
    <x v="4"/>
    <x v="0"/>
  </r>
  <r>
    <x v="1"/>
    <x v="0"/>
    <s v="Not owing"/>
    <n v="0"/>
    <n v="0"/>
    <n v="0"/>
    <x v="5"/>
    <x v="0"/>
  </r>
  <r>
    <x v="1"/>
    <x v="0"/>
    <s v="Not owing"/>
    <n v="0"/>
    <n v="0"/>
    <n v="0"/>
    <x v="6"/>
    <x v="0"/>
  </r>
  <r>
    <x v="1"/>
    <x v="0"/>
    <s v="Not owing"/>
    <n v="0"/>
    <n v="0"/>
    <n v="0"/>
    <x v="7"/>
    <x v="0"/>
  </r>
  <r>
    <x v="1"/>
    <x v="0"/>
    <s v="Not owing"/>
    <n v="0"/>
    <n v="0"/>
    <n v="0"/>
    <x v="8"/>
    <x v="2"/>
  </r>
  <r>
    <x v="1"/>
    <x v="0"/>
    <s v="Not owing"/>
    <n v="0"/>
    <n v="0"/>
    <n v="0"/>
    <x v="9"/>
    <x v="0"/>
  </r>
  <r>
    <x v="1"/>
    <x v="0"/>
    <s v="Not owing"/>
    <n v="0"/>
    <n v="0"/>
    <n v="0"/>
    <x v="10"/>
    <x v="0"/>
  </r>
  <r>
    <x v="2"/>
    <x v="1"/>
    <s v="Reached out to"/>
    <n v="0"/>
    <n v="0"/>
    <n v="1000"/>
    <x v="0"/>
    <x v="0"/>
  </r>
  <r>
    <x v="2"/>
    <x v="1"/>
    <s v="Reached out to"/>
    <n v="0"/>
    <n v="0"/>
    <n v="1000"/>
    <x v="1"/>
    <x v="0"/>
  </r>
  <r>
    <x v="2"/>
    <x v="1"/>
    <s v="Reached out to"/>
    <n v="0"/>
    <n v="0"/>
    <n v="1000"/>
    <x v="2"/>
    <x v="0"/>
  </r>
  <r>
    <x v="2"/>
    <x v="1"/>
    <s v="Reached out to"/>
    <n v="0"/>
    <n v="0"/>
    <n v="1000"/>
    <x v="3"/>
    <x v="0"/>
  </r>
  <r>
    <x v="2"/>
    <x v="1"/>
    <s v="Reached out to"/>
    <n v="0"/>
    <n v="0"/>
    <n v="1000"/>
    <x v="4"/>
    <x v="0"/>
  </r>
  <r>
    <x v="2"/>
    <x v="1"/>
    <s v="Reached out to"/>
    <n v="0"/>
    <n v="0"/>
    <n v="1000"/>
    <x v="5"/>
    <x v="0"/>
  </r>
  <r>
    <x v="2"/>
    <x v="1"/>
    <s v="Reached out to"/>
    <n v="0"/>
    <n v="0"/>
    <n v="1000"/>
    <x v="6"/>
    <x v="0"/>
  </r>
  <r>
    <x v="2"/>
    <x v="1"/>
    <s v="Reached out to"/>
    <n v="0"/>
    <n v="0"/>
    <n v="1000"/>
    <x v="7"/>
    <x v="0"/>
  </r>
  <r>
    <x v="2"/>
    <x v="1"/>
    <s v="Reached out to"/>
    <n v="0"/>
    <n v="0"/>
    <n v="1000"/>
    <x v="8"/>
    <x v="1"/>
  </r>
  <r>
    <x v="2"/>
    <x v="1"/>
    <s v="Reached out to"/>
    <n v="0"/>
    <n v="0"/>
    <n v="1000"/>
    <x v="9"/>
    <x v="1"/>
  </r>
  <r>
    <x v="2"/>
    <x v="1"/>
    <s v="Reached out to"/>
    <n v="0"/>
    <n v="0"/>
    <n v="1000"/>
    <x v="10"/>
    <x v="2"/>
  </r>
  <r>
    <x v="3"/>
    <x v="1"/>
    <s v="Reached out to"/>
    <n v="0"/>
    <n v="0"/>
    <n v="3000"/>
    <x v="0"/>
    <x v="1"/>
  </r>
  <r>
    <x v="3"/>
    <x v="1"/>
    <s v="Reached out to"/>
    <n v="0"/>
    <n v="0"/>
    <n v="3000"/>
    <x v="1"/>
    <x v="1"/>
  </r>
  <r>
    <x v="3"/>
    <x v="1"/>
    <s v="Reached out to"/>
    <n v="0"/>
    <n v="0"/>
    <n v="3000"/>
    <x v="2"/>
    <x v="0"/>
  </r>
  <r>
    <x v="3"/>
    <x v="1"/>
    <s v="Reached out to"/>
    <n v="0"/>
    <n v="0"/>
    <n v="3000"/>
    <x v="3"/>
    <x v="1"/>
  </r>
  <r>
    <x v="3"/>
    <x v="1"/>
    <s v="Reached out to"/>
    <n v="0"/>
    <n v="0"/>
    <n v="3000"/>
    <x v="4"/>
    <x v="1"/>
  </r>
  <r>
    <x v="3"/>
    <x v="1"/>
    <s v="Reached out to"/>
    <n v="0"/>
    <n v="0"/>
    <n v="3000"/>
    <x v="5"/>
    <x v="1"/>
  </r>
  <r>
    <x v="3"/>
    <x v="1"/>
    <s v="Reached out to"/>
    <n v="0"/>
    <n v="0"/>
    <n v="3000"/>
    <x v="6"/>
    <x v="0"/>
  </r>
  <r>
    <x v="3"/>
    <x v="1"/>
    <s v="Reached out to"/>
    <n v="0"/>
    <n v="0"/>
    <n v="3000"/>
    <x v="7"/>
    <x v="1"/>
  </r>
  <r>
    <x v="3"/>
    <x v="1"/>
    <s v="Reached out to"/>
    <n v="0"/>
    <n v="0"/>
    <n v="3000"/>
    <x v="8"/>
    <x v="0"/>
  </r>
  <r>
    <x v="3"/>
    <x v="1"/>
    <s v="Reached out to"/>
    <n v="0"/>
    <n v="0"/>
    <n v="3000"/>
    <x v="9"/>
    <x v="0"/>
  </r>
  <r>
    <x v="3"/>
    <x v="1"/>
    <s v="Reached out to"/>
    <n v="0"/>
    <n v="0"/>
    <n v="3000"/>
    <x v="10"/>
    <x v="2"/>
  </r>
  <r>
    <x v="4"/>
    <x v="1"/>
    <s v="Reached out to"/>
    <n v="300"/>
    <n v="0"/>
    <n v="2000"/>
    <x v="0"/>
    <x v="1"/>
  </r>
  <r>
    <x v="4"/>
    <x v="1"/>
    <s v="Reached out to"/>
    <n v="300"/>
    <n v="0"/>
    <n v="2000"/>
    <x v="1"/>
    <x v="2"/>
  </r>
  <r>
    <x v="4"/>
    <x v="1"/>
    <s v="Reached out to"/>
    <n v="300"/>
    <n v="0"/>
    <n v="2000"/>
    <x v="2"/>
    <x v="1"/>
  </r>
  <r>
    <x v="4"/>
    <x v="1"/>
    <s v="Reached out to"/>
    <n v="300"/>
    <n v="0"/>
    <n v="2000"/>
    <x v="3"/>
    <x v="1"/>
  </r>
  <r>
    <x v="4"/>
    <x v="1"/>
    <s v="Reached out to"/>
    <n v="300"/>
    <n v="0"/>
    <n v="2000"/>
    <x v="4"/>
    <x v="0"/>
  </r>
  <r>
    <x v="4"/>
    <x v="1"/>
    <s v="Reached out to"/>
    <n v="300"/>
    <n v="0"/>
    <n v="2000"/>
    <x v="5"/>
    <x v="0"/>
  </r>
  <r>
    <x v="4"/>
    <x v="1"/>
    <s v="Reached out to"/>
    <n v="300"/>
    <n v="0"/>
    <n v="2000"/>
    <x v="6"/>
    <x v="0"/>
  </r>
  <r>
    <x v="4"/>
    <x v="1"/>
    <s v="Reached out to"/>
    <n v="300"/>
    <n v="0"/>
    <n v="2000"/>
    <x v="7"/>
    <x v="0"/>
  </r>
  <r>
    <x v="4"/>
    <x v="1"/>
    <s v="Reached out to"/>
    <n v="300"/>
    <n v="0"/>
    <n v="2000"/>
    <x v="8"/>
    <x v="0"/>
  </r>
  <r>
    <x v="4"/>
    <x v="1"/>
    <s v="Reached out to"/>
    <n v="300"/>
    <n v="0"/>
    <n v="2000"/>
    <x v="9"/>
    <x v="3"/>
  </r>
  <r>
    <x v="4"/>
    <x v="1"/>
    <s v="Reached out to"/>
    <n v="300"/>
    <n v="0"/>
    <n v="2000"/>
    <x v="10"/>
    <x v="1"/>
  </r>
  <r>
    <x v="5"/>
    <x v="1"/>
    <s v="Reached out to"/>
    <n v="1500"/>
    <n v="0"/>
    <n v="0"/>
    <x v="0"/>
    <x v="0"/>
  </r>
  <r>
    <x v="5"/>
    <x v="1"/>
    <s v="Reached out to"/>
    <n v="1500"/>
    <n v="0"/>
    <n v="0"/>
    <x v="1"/>
    <x v="0"/>
  </r>
  <r>
    <x v="5"/>
    <x v="1"/>
    <s v="Reached out to"/>
    <n v="1500"/>
    <n v="0"/>
    <n v="0"/>
    <x v="2"/>
    <x v="3"/>
  </r>
  <r>
    <x v="5"/>
    <x v="1"/>
    <s v="Reached out to"/>
    <n v="1500"/>
    <n v="0"/>
    <n v="0"/>
    <x v="3"/>
    <x v="3"/>
  </r>
  <r>
    <x v="5"/>
    <x v="1"/>
    <s v="Reached out to"/>
    <n v="1500"/>
    <n v="0"/>
    <n v="0"/>
    <x v="4"/>
    <x v="3"/>
  </r>
  <r>
    <x v="5"/>
    <x v="1"/>
    <s v="Reached out to"/>
    <n v="1500"/>
    <n v="0"/>
    <n v="0"/>
    <x v="5"/>
    <x v="3"/>
  </r>
  <r>
    <x v="5"/>
    <x v="1"/>
    <s v="Reached out to"/>
    <n v="1500"/>
    <n v="0"/>
    <n v="0"/>
    <x v="6"/>
    <x v="0"/>
  </r>
  <r>
    <x v="5"/>
    <x v="1"/>
    <s v="Reached out to"/>
    <n v="1500"/>
    <n v="0"/>
    <n v="0"/>
    <x v="7"/>
    <x v="3"/>
  </r>
  <r>
    <x v="5"/>
    <x v="1"/>
    <s v="Reached out to"/>
    <n v="1500"/>
    <n v="0"/>
    <n v="0"/>
    <x v="8"/>
    <x v="2"/>
  </r>
  <r>
    <x v="5"/>
    <x v="1"/>
    <s v="Reached out to"/>
    <n v="1500"/>
    <n v="0"/>
    <n v="0"/>
    <x v="9"/>
    <x v="0"/>
  </r>
  <r>
    <x v="5"/>
    <x v="1"/>
    <s v="Reached out to"/>
    <n v="1500"/>
    <n v="0"/>
    <n v="0"/>
    <x v="10"/>
    <x v="0"/>
  </r>
  <r>
    <x v="6"/>
    <x v="0"/>
    <s v="Not owing"/>
    <n v="0"/>
    <n v="0"/>
    <n v="0"/>
    <x v="0"/>
    <x v="0"/>
  </r>
  <r>
    <x v="6"/>
    <x v="0"/>
    <s v="Not owing"/>
    <n v="0"/>
    <n v="0"/>
    <n v="0"/>
    <x v="1"/>
    <x v="0"/>
  </r>
  <r>
    <x v="6"/>
    <x v="0"/>
    <s v="Not owing"/>
    <n v="0"/>
    <n v="0"/>
    <n v="0"/>
    <x v="2"/>
    <x v="0"/>
  </r>
  <r>
    <x v="6"/>
    <x v="0"/>
    <s v="Not owing"/>
    <n v="0"/>
    <n v="0"/>
    <n v="0"/>
    <x v="3"/>
    <x v="0"/>
  </r>
  <r>
    <x v="6"/>
    <x v="0"/>
    <s v="Not owing"/>
    <n v="0"/>
    <n v="0"/>
    <n v="0"/>
    <x v="4"/>
    <x v="2"/>
  </r>
  <r>
    <x v="6"/>
    <x v="0"/>
    <s v="Not owing"/>
    <n v="0"/>
    <n v="0"/>
    <n v="0"/>
    <x v="5"/>
    <x v="0"/>
  </r>
  <r>
    <x v="6"/>
    <x v="0"/>
    <s v="Not owing"/>
    <n v="0"/>
    <n v="0"/>
    <n v="0"/>
    <x v="6"/>
    <x v="0"/>
  </r>
  <r>
    <x v="6"/>
    <x v="0"/>
    <s v="Not owing"/>
    <n v="0"/>
    <n v="0"/>
    <n v="0"/>
    <x v="7"/>
    <x v="0"/>
  </r>
  <r>
    <x v="6"/>
    <x v="0"/>
    <s v="Not owing"/>
    <n v="0"/>
    <n v="0"/>
    <n v="0"/>
    <x v="8"/>
    <x v="0"/>
  </r>
  <r>
    <x v="6"/>
    <x v="0"/>
    <s v="Not owing"/>
    <n v="0"/>
    <n v="0"/>
    <n v="0"/>
    <x v="9"/>
    <x v="0"/>
  </r>
  <r>
    <x v="6"/>
    <x v="0"/>
    <s v="Not owing"/>
    <n v="0"/>
    <n v="0"/>
    <n v="0"/>
    <x v="10"/>
    <x v="0"/>
  </r>
  <r>
    <x v="7"/>
    <x v="0"/>
    <s v="Paid"/>
    <n v="0"/>
    <n v="0"/>
    <n v="1000"/>
    <x v="0"/>
    <x v="0"/>
  </r>
  <r>
    <x v="7"/>
    <x v="0"/>
    <s v="Paid"/>
    <n v="0"/>
    <n v="0"/>
    <n v="1000"/>
    <x v="1"/>
    <x v="0"/>
  </r>
  <r>
    <x v="7"/>
    <x v="0"/>
    <s v="Paid"/>
    <n v="0"/>
    <n v="0"/>
    <n v="1000"/>
    <x v="2"/>
    <x v="0"/>
  </r>
  <r>
    <x v="7"/>
    <x v="0"/>
    <s v="Paid"/>
    <n v="0"/>
    <n v="0"/>
    <n v="1000"/>
    <x v="3"/>
    <x v="0"/>
  </r>
  <r>
    <x v="7"/>
    <x v="0"/>
    <s v="Paid"/>
    <n v="0"/>
    <n v="0"/>
    <n v="1000"/>
    <x v="4"/>
    <x v="1"/>
  </r>
  <r>
    <x v="7"/>
    <x v="0"/>
    <s v="Paid"/>
    <n v="0"/>
    <n v="0"/>
    <n v="1000"/>
    <x v="5"/>
    <x v="0"/>
  </r>
  <r>
    <x v="7"/>
    <x v="0"/>
    <s v="Paid"/>
    <n v="0"/>
    <n v="0"/>
    <n v="1000"/>
    <x v="6"/>
    <x v="0"/>
  </r>
  <r>
    <x v="7"/>
    <x v="0"/>
    <s v="Paid"/>
    <n v="0"/>
    <n v="0"/>
    <n v="1000"/>
    <x v="7"/>
    <x v="1"/>
  </r>
  <r>
    <x v="7"/>
    <x v="0"/>
    <s v="Paid"/>
    <n v="0"/>
    <n v="0"/>
    <n v="1000"/>
    <x v="8"/>
    <x v="0"/>
  </r>
  <r>
    <x v="7"/>
    <x v="0"/>
    <s v="Paid"/>
    <n v="0"/>
    <n v="0"/>
    <n v="1000"/>
    <x v="9"/>
    <x v="0"/>
  </r>
  <r>
    <x v="7"/>
    <x v="0"/>
    <s v="Paid"/>
    <n v="0"/>
    <n v="0"/>
    <n v="1000"/>
    <x v="10"/>
    <x v="0"/>
  </r>
  <r>
    <x v="8"/>
    <x v="1"/>
    <s v="Not owing"/>
    <n v="0"/>
    <n v="0"/>
    <n v="0"/>
    <x v="0"/>
    <x v="0"/>
  </r>
  <r>
    <x v="8"/>
    <x v="1"/>
    <s v="Not owing"/>
    <n v="0"/>
    <n v="0"/>
    <n v="0"/>
    <x v="1"/>
    <x v="0"/>
  </r>
  <r>
    <x v="8"/>
    <x v="1"/>
    <s v="Not owing"/>
    <n v="0"/>
    <n v="0"/>
    <n v="0"/>
    <x v="2"/>
    <x v="0"/>
  </r>
  <r>
    <x v="8"/>
    <x v="1"/>
    <s v="Not owing"/>
    <n v="0"/>
    <n v="0"/>
    <n v="0"/>
    <x v="3"/>
    <x v="0"/>
  </r>
  <r>
    <x v="8"/>
    <x v="1"/>
    <s v="Not owing"/>
    <n v="0"/>
    <n v="0"/>
    <n v="0"/>
    <x v="4"/>
    <x v="0"/>
  </r>
  <r>
    <x v="8"/>
    <x v="1"/>
    <s v="Not owing"/>
    <n v="0"/>
    <n v="0"/>
    <n v="0"/>
    <x v="5"/>
    <x v="0"/>
  </r>
  <r>
    <x v="8"/>
    <x v="1"/>
    <s v="Not owing"/>
    <n v="0"/>
    <n v="0"/>
    <n v="0"/>
    <x v="6"/>
    <x v="0"/>
  </r>
  <r>
    <x v="8"/>
    <x v="1"/>
    <s v="Not owing"/>
    <n v="0"/>
    <n v="0"/>
    <n v="0"/>
    <x v="7"/>
    <x v="0"/>
  </r>
  <r>
    <x v="8"/>
    <x v="1"/>
    <s v="Not owing"/>
    <n v="0"/>
    <n v="0"/>
    <n v="0"/>
    <x v="8"/>
    <x v="0"/>
  </r>
  <r>
    <x v="8"/>
    <x v="1"/>
    <s v="Not owing"/>
    <n v="0"/>
    <n v="0"/>
    <n v="0"/>
    <x v="9"/>
    <x v="0"/>
  </r>
  <r>
    <x v="8"/>
    <x v="1"/>
    <s v="Not owing"/>
    <n v="0"/>
    <n v="0"/>
    <n v="0"/>
    <x v="10"/>
    <x v="0"/>
  </r>
  <r>
    <x v="9"/>
    <x v="1"/>
    <s v="Reached out to"/>
    <n v="0"/>
    <n v="0"/>
    <n v="1500"/>
    <x v="0"/>
    <x v="1"/>
  </r>
  <r>
    <x v="9"/>
    <x v="1"/>
    <s v="Reached out to"/>
    <n v="0"/>
    <n v="0"/>
    <n v="1500"/>
    <x v="1"/>
    <x v="1"/>
  </r>
  <r>
    <x v="9"/>
    <x v="1"/>
    <s v="Reached out to"/>
    <n v="0"/>
    <n v="0"/>
    <n v="1500"/>
    <x v="2"/>
    <x v="0"/>
  </r>
  <r>
    <x v="9"/>
    <x v="1"/>
    <s v="Reached out to"/>
    <n v="0"/>
    <n v="0"/>
    <n v="1500"/>
    <x v="3"/>
    <x v="0"/>
  </r>
  <r>
    <x v="9"/>
    <x v="1"/>
    <s v="Reached out to"/>
    <n v="0"/>
    <n v="0"/>
    <n v="1500"/>
    <x v="4"/>
    <x v="0"/>
  </r>
  <r>
    <x v="9"/>
    <x v="1"/>
    <s v="Reached out to"/>
    <n v="0"/>
    <n v="0"/>
    <n v="1500"/>
    <x v="5"/>
    <x v="2"/>
  </r>
  <r>
    <x v="9"/>
    <x v="1"/>
    <s v="Reached out to"/>
    <n v="0"/>
    <n v="0"/>
    <n v="1500"/>
    <x v="6"/>
    <x v="0"/>
  </r>
  <r>
    <x v="9"/>
    <x v="1"/>
    <s v="Reached out to"/>
    <n v="0"/>
    <n v="0"/>
    <n v="1500"/>
    <x v="7"/>
    <x v="0"/>
  </r>
  <r>
    <x v="9"/>
    <x v="1"/>
    <s v="Reached out to"/>
    <n v="0"/>
    <n v="0"/>
    <n v="1500"/>
    <x v="8"/>
    <x v="0"/>
  </r>
  <r>
    <x v="9"/>
    <x v="1"/>
    <s v="Reached out to"/>
    <n v="0"/>
    <n v="0"/>
    <n v="1500"/>
    <x v="9"/>
    <x v="0"/>
  </r>
  <r>
    <x v="9"/>
    <x v="1"/>
    <s v="Reached out to"/>
    <n v="0"/>
    <n v="0"/>
    <n v="1500"/>
    <x v="10"/>
    <x v="1"/>
  </r>
  <r>
    <x v="10"/>
    <x v="0"/>
    <s v="Not owing"/>
    <n v="0"/>
    <n v="0"/>
    <n v="0"/>
    <x v="0"/>
    <x v="0"/>
  </r>
  <r>
    <x v="10"/>
    <x v="0"/>
    <s v="Not owing"/>
    <n v="0"/>
    <n v="0"/>
    <n v="0"/>
    <x v="1"/>
    <x v="0"/>
  </r>
  <r>
    <x v="10"/>
    <x v="0"/>
    <s v="Not owing"/>
    <n v="0"/>
    <n v="0"/>
    <n v="0"/>
    <x v="2"/>
    <x v="0"/>
  </r>
  <r>
    <x v="10"/>
    <x v="0"/>
    <s v="Not owing"/>
    <n v="0"/>
    <n v="0"/>
    <n v="0"/>
    <x v="3"/>
    <x v="0"/>
  </r>
  <r>
    <x v="10"/>
    <x v="0"/>
    <s v="Not owing"/>
    <n v="0"/>
    <n v="0"/>
    <n v="0"/>
    <x v="4"/>
    <x v="0"/>
  </r>
  <r>
    <x v="10"/>
    <x v="0"/>
    <s v="Not owing"/>
    <n v="0"/>
    <n v="0"/>
    <n v="0"/>
    <x v="5"/>
    <x v="0"/>
  </r>
  <r>
    <x v="10"/>
    <x v="0"/>
    <s v="Not owing"/>
    <n v="0"/>
    <n v="0"/>
    <n v="0"/>
    <x v="6"/>
    <x v="0"/>
  </r>
  <r>
    <x v="10"/>
    <x v="0"/>
    <s v="Not owing"/>
    <n v="0"/>
    <n v="0"/>
    <n v="0"/>
    <x v="7"/>
    <x v="0"/>
  </r>
  <r>
    <x v="10"/>
    <x v="0"/>
    <s v="Not owing"/>
    <n v="0"/>
    <n v="0"/>
    <n v="0"/>
    <x v="8"/>
    <x v="0"/>
  </r>
  <r>
    <x v="10"/>
    <x v="0"/>
    <s v="Not owing"/>
    <n v="0"/>
    <n v="0"/>
    <n v="0"/>
    <x v="9"/>
    <x v="0"/>
  </r>
  <r>
    <x v="10"/>
    <x v="0"/>
    <s v="Not owing"/>
    <n v="0"/>
    <n v="0"/>
    <n v="0"/>
    <x v="10"/>
    <x v="0"/>
  </r>
  <r>
    <x v="11"/>
    <x v="1"/>
    <s v="Paid"/>
    <n v="0"/>
    <n v="0"/>
    <n v="1000"/>
    <x v="0"/>
    <x v="0"/>
  </r>
  <r>
    <x v="11"/>
    <x v="1"/>
    <s v="Paid"/>
    <n v="0"/>
    <n v="0"/>
    <n v="1000"/>
    <x v="1"/>
    <x v="0"/>
  </r>
  <r>
    <x v="11"/>
    <x v="1"/>
    <s v="Paid"/>
    <n v="0"/>
    <n v="0"/>
    <n v="1000"/>
    <x v="2"/>
    <x v="1"/>
  </r>
  <r>
    <x v="11"/>
    <x v="1"/>
    <s v="Paid"/>
    <n v="0"/>
    <n v="0"/>
    <n v="1000"/>
    <x v="3"/>
    <x v="1"/>
  </r>
  <r>
    <x v="11"/>
    <x v="1"/>
    <s v="Paid"/>
    <n v="0"/>
    <n v="0"/>
    <n v="1000"/>
    <x v="4"/>
    <x v="0"/>
  </r>
  <r>
    <x v="11"/>
    <x v="1"/>
    <s v="Paid"/>
    <n v="0"/>
    <n v="0"/>
    <n v="1000"/>
    <x v="5"/>
    <x v="0"/>
  </r>
  <r>
    <x v="11"/>
    <x v="1"/>
    <s v="Paid"/>
    <n v="0"/>
    <n v="0"/>
    <n v="1000"/>
    <x v="6"/>
    <x v="0"/>
  </r>
  <r>
    <x v="11"/>
    <x v="1"/>
    <s v="Paid"/>
    <n v="0"/>
    <n v="0"/>
    <n v="1000"/>
    <x v="7"/>
    <x v="0"/>
  </r>
  <r>
    <x v="11"/>
    <x v="1"/>
    <s v="Paid"/>
    <n v="0"/>
    <n v="0"/>
    <n v="1000"/>
    <x v="8"/>
    <x v="0"/>
  </r>
  <r>
    <x v="11"/>
    <x v="1"/>
    <s v="Paid"/>
    <n v="0"/>
    <n v="0"/>
    <n v="1000"/>
    <x v="9"/>
    <x v="0"/>
  </r>
  <r>
    <x v="11"/>
    <x v="1"/>
    <s v="Paid"/>
    <n v="0"/>
    <n v="0"/>
    <n v="1000"/>
    <x v="10"/>
    <x v="0"/>
  </r>
  <r>
    <x v="12"/>
    <x v="1"/>
    <s v="Paid"/>
    <n v="600"/>
    <n v="0"/>
    <n v="500"/>
    <x v="0"/>
    <x v="0"/>
  </r>
  <r>
    <x v="12"/>
    <x v="1"/>
    <s v="Paid"/>
    <n v="600"/>
    <n v="0"/>
    <n v="500"/>
    <x v="1"/>
    <x v="1"/>
  </r>
  <r>
    <x v="12"/>
    <x v="1"/>
    <s v="Paid"/>
    <n v="600"/>
    <n v="0"/>
    <n v="500"/>
    <x v="2"/>
    <x v="0"/>
  </r>
  <r>
    <x v="12"/>
    <x v="1"/>
    <s v="Paid"/>
    <n v="600"/>
    <n v="0"/>
    <n v="500"/>
    <x v="3"/>
    <x v="0"/>
  </r>
  <r>
    <x v="12"/>
    <x v="1"/>
    <s v="Paid"/>
    <n v="600"/>
    <n v="0"/>
    <n v="500"/>
    <x v="4"/>
    <x v="0"/>
  </r>
  <r>
    <x v="12"/>
    <x v="1"/>
    <s v="Paid"/>
    <n v="600"/>
    <n v="0"/>
    <n v="500"/>
    <x v="5"/>
    <x v="3"/>
  </r>
  <r>
    <x v="12"/>
    <x v="1"/>
    <s v="Paid"/>
    <n v="600"/>
    <n v="0"/>
    <n v="500"/>
    <x v="6"/>
    <x v="0"/>
  </r>
  <r>
    <x v="12"/>
    <x v="1"/>
    <s v="Paid"/>
    <n v="600"/>
    <n v="0"/>
    <n v="500"/>
    <x v="7"/>
    <x v="1"/>
  </r>
  <r>
    <x v="12"/>
    <x v="1"/>
    <s v="Paid"/>
    <n v="600"/>
    <n v="0"/>
    <n v="500"/>
    <x v="8"/>
    <x v="0"/>
  </r>
  <r>
    <x v="12"/>
    <x v="1"/>
    <s v="Paid"/>
    <n v="600"/>
    <n v="0"/>
    <n v="500"/>
    <x v="9"/>
    <x v="0"/>
  </r>
  <r>
    <x v="12"/>
    <x v="1"/>
    <s v="Paid"/>
    <n v="600"/>
    <n v="0"/>
    <n v="500"/>
    <x v="10"/>
    <x v="3"/>
  </r>
  <r>
    <x v="13"/>
    <x v="1"/>
    <s v="Not owing"/>
    <n v="0"/>
    <n v="0"/>
    <n v="0"/>
    <x v="0"/>
    <x v="0"/>
  </r>
  <r>
    <x v="13"/>
    <x v="1"/>
    <s v="Not owing"/>
    <n v="0"/>
    <n v="0"/>
    <n v="0"/>
    <x v="1"/>
    <x v="0"/>
  </r>
  <r>
    <x v="13"/>
    <x v="1"/>
    <s v="Not owing"/>
    <n v="0"/>
    <n v="0"/>
    <n v="0"/>
    <x v="2"/>
    <x v="0"/>
  </r>
  <r>
    <x v="13"/>
    <x v="1"/>
    <s v="Not owing"/>
    <n v="0"/>
    <n v="0"/>
    <n v="0"/>
    <x v="3"/>
    <x v="0"/>
  </r>
  <r>
    <x v="13"/>
    <x v="1"/>
    <s v="Not owing"/>
    <n v="0"/>
    <n v="0"/>
    <n v="0"/>
    <x v="4"/>
    <x v="0"/>
  </r>
  <r>
    <x v="13"/>
    <x v="1"/>
    <s v="Not owing"/>
    <n v="0"/>
    <n v="0"/>
    <n v="0"/>
    <x v="5"/>
    <x v="0"/>
  </r>
  <r>
    <x v="13"/>
    <x v="1"/>
    <s v="Not owing"/>
    <n v="0"/>
    <n v="0"/>
    <n v="0"/>
    <x v="6"/>
    <x v="0"/>
  </r>
  <r>
    <x v="13"/>
    <x v="1"/>
    <s v="Not owing"/>
    <n v="0"/>
    <n v="0"/>
    <n v="0"/>
    <x v="7"/>
    <x v="0"/>
  </r>
  <r>
    <x v="13"/>
    <x v="1"/>
    <s v="Not owing"/>
    <n v="0"/>
    <n v="0"/>
    <n v="0"/>
    <x v="8"/>
    <x v="0"/>
  </r>
  <r>
    <x v="13"/>
    <x v="1"/>
    <s v="Not owing"/>
    <n v="0"/>
    <n v="0"/>
    <n v="0"/>
    <x v="9"/>
    <x v="0"/>
  </r>
  <r>
    <x v="13"/>
    <x v="1"/>
    <s v="Not owing"/>
    <n v="0"/>
    <n v="0"/>
    <n v="0"/>
    <x v="10"/>
    <x v="0"/>
  </r>
  <r>
    <x v="14"/>
    <x v="0"/>
    <s v="Not owing"/>
    <n v="0"/>
    <n v="0"/>
    <n v="0"/>
    <x v="0"/>
    <x v="0"/>
  </r>
  <r>
    <x v="14"/>
    <x v="0"/>
    <s v="Not owing"/>
    <n v="0"/>
    <n v="0"/>
    <n v="0"/>
    <x v="1"/>
    <x v="0"/>
  </r>
  <r>
    <x v="14"/>
    <x v="0"/>
    <s v="Not owing"/>
    <n v="0"/>
    <n v="0"/>
    <n v="0"/>
    <x v="2"/>
    <x v="0"/>
  </r>
  <r>
    <x v="14"/>
    <x v="0"/>
    <s v="Not owing"/>
    <n v="0"/>
    <n v="0"/>
    <n v="0"/>
    <x v="3"/>
    <x v="0"/>
  </r>
  <r>
    <x v="14"/>
    <x v="0"/>
    <s v="Not owing"/>
    <n v="0"/>
    <n v="0"/>
    <n v="0"/>
    <x v="4"/>
    <x v="0"/>
  </r>
  <r>
    <x v="14"/>
    <x v="0"/>
    <s v="Not owing"/>
    <n v="0"/>
    <n v="0"/>
    <n v="0"/>
    <x v="5"/>
    <x v="0"/>
  </r>
  <r>
    <x v="14"/>
    <x v="0"/>
    <s v="Not owing"/>
    <n v="0"/>
    <n v="0"/>
    <n v="0"/>
    <x v="6"/>
    <x v="0"/>
  </r>
  <r>
    <x v="14"/>
    <x v="0"/>
    <s v="Not owing"/>
    <n v="0"/>
    <n v="0"/>
    <n v="0"/>
    <x v="7"/>
    <x v="0"/>
  </r>
  <r>
    <x v="14"/>
    <x v="0"/>
    <s v="Not owing"/>
    <n v="0"/>
    <n v="0"/>
    <n v="0"/>
    <x v="8"/>
    <x v="0"/>
  </r>
  <r>
    <x v="14"/>
    <x v="0"/>
    <s v="Not owing"/>
    <n v="0"/>
    <n v="0"/>
    <n v="0"/>
    <x v="9"/>
    <x v="0"/>
  </r>
  <r>
    <x v="14"/>
    <x v="0"/>
    <s v="Not owing"/>
    <n v="0"/>
    <n v="0"/>
    <n v="0"/>
    <x v="10"/>
    <x v="0"/>
  </r>
  <r>
    <x v="15"/>
    <x v="1"/>
    <s v="Paid"/>
    <n v="300"/>
    <n v="0"/>
    <n v="0"/>
    <x v="0"/>
    <x v="0"/>
  </r>
  <r>
    <x v="15"/>
    <x v="1"/>
    <s v="Paid"/>
    <n v="300"/>
    <n v="0"/>
    <n v="0"/>
    <x v="1"/>
    <x v="0"/>
  </r>
  <r>
    <x v="15"/>
    <x v="1"/>
    <s v="Paid"/>
    <n v="300"/>
    <n v="0"/>
    <n v="0"/>
    <x v="2"/>
    <x v="0"/>
  </r>
  <r>
    <x v="15"/>
    <x v="1"/>
    <s v="Paid"/>
    <n v="300"/>
    <n v="0"/>
    <n v="0"/>
    <x v="3"/>
    <x v="0"/>
  </r>
  <r>
    <x v="15"/>
    <x v="1"/>
    <s v="Paid"/>
    <n v="300"/>
    <n v="0"/>
    <n v="0"/>
    <x v="4"/>
    <x v="0"/>
  </r>
  <r>
    <x v="15"/>
    <x v="1"/>
    <s v="Paid"/>
    <n v="300"/>
    <n v="0"/>
    <n v="0"/>
    <x v="5"/>
    <x v="0"/>
  </r>
  <r>
    <x v="15"/>
    <x v="1"/>
    <s v="Paid"/>
    <n v="300"/>
    <n v="0"/>
    <n v="0"/>
    <x v="6"/>
    <x v="0"/>
  </r>
  <r>
    <x v="15"/>
    <x v="1"/>
    <s v="Paid"/>
    <n v="300"/>
    <n v="0"/>
    <n v="0"/>
    <x v="7"/>
    <x v="3"/>
  </r>
  <r>
    <x v="15"/>
    <x v="1"/>
    <s v="Paid"/>
    <n v="300"/>
    <n v="0"/>
    <n v="0"/>
    <x v="8"/>
    <x v="0"/>
  </r>
  <r>
    <x v="15"/>
    <x v="1"/>
    <s v="Paid"/>
    <n v="300"/>
    <n v="0"/>
    <n v="0"/>
    <x v="9"/>
    <x v="0"/>
  </r>
  <r>
    <x v="15"/>
    <x v="1"/>
    <s v="Paid"/>
    <n v="300"/>
    <n v="0"/>
    <n v="0"/>
    <x v="10"/>
    <x v="0"/>
  </r>
  <r>
    <x v="16"/>
    <x v="0"/>
    <s v="Not owing"/>
    <n v="0"/>
    <n v="0"/>
    <n v="0"/>
    <x v="0"/>
    <x v="0"/>
  </r>
  <r>
    <x v="16"/>
    <x v="0"/>
    <s v="Not owing"/>
    <n v="0"/>
    <n v="0"/>
    <n v="0"/>
    <x v="1"/>
    <x v="0"/>
  </r>
  <r>
    <x v="16"/>
    <x v="0"/>
    <s v="Not owing"/>
    <n v="0"/>
    <n v="0"/>
    <n v="0"/>
    <x v="2"/>
    <x v="0"/>
  </r>
  <r>
    <x v="16"/>
    <x v="0"/>
    <s v="Not owing"/>
    <n v="0"/>
    <n v="0"/>
    <n v="0"/>
    <x v="3"/>
    <x v="0"/>
  </r>
  <r>
    <x v="16"/>
    <x v="0"/>
    <s v="Not owing"/>
    <n v="0"/>
    <n v="0"/>
    <n v="0"/>
    <x v="4"/>
    <x v="0"/>
  </r>
  <r>
    <x v="16"/>
    <x v="0"/>
    <s v="Not owing"/>
    <n v="0"/>
    <n v="0"/>
    <n v="0"/>
    <x v="5"/>
    <x v="0"/>
  </r>
  <r>
    <x v="16"/>
    <x v="0"/>
    <s v="Not owing"/>
    <n v="0"/>
    <n v="0"/>
    <n v="0"/>
    <x v="6"/>
    <x v="0"/>
  </r>
  <r>
    <x v="16"/>
    <x v="0"/>
    <s v="Not owing"/>
    <n v="0"/>
    <n v="0"/>
    <n v="0"/>
    <x v="7"/>
    <x v="0"/>
  </r>
  <r>
    <x v="16"/>
    <x v="0"/>
    <s v="Not owing"/>
    <n v="0"/>
    <n v="0"/>
    <n v="0"/>
    <x v="8"/>
    <x v="0"/>
  </r>
  <r>
    <x v="16"/>
    <x v="0"/>
    <s v="Not owing"/>
    <n v="0"/>
    <n v="0"/>
    <n v="0"/>
    <x v="9"/>
    <x v="0"/>
  </r>
  <r>
    <x v="16"/>
    <x v="0"/>
    <s v="Not owing"/>
    <n v="0"/>
    <n v="0"/>
    <n v="0"/>
    <x v="10"/>
    <x v="0"/>
  </r>
  <r>
    <x v="17"/>
    <x v="0"/>
    <s v="Not owing"/>
    <n v="0"/>
    <n v="0"/>
    <n v="0"/>
    <x v="0"/>
    <x v="0"/>
  </r>
  <r>
    <x v="17"/>
    <x v="0"/>
    <s v="Not owing"/>
    <n v="0"/>
    <n v="0"/>
    <n v="0"/>
    <x v="1"/>
    <x v="0"/>
  </r>
  <r>
    <x v="17"/>
    <x v="0"/>
    <s v="Not owing"/>
    <n v="0"/>
    <n v="0"/>
    <n v="0"/>
    <x v="2"/>
    <x v="0"/>
  </r>
  <r>
    <x v="17"/>
    <x v="0"/>
    <s v="Not owing"/>
    <n v="0"/>
    <n v="0"/>
    <n v="0"/>
    <x v="3"/>
    <x v="0"/>
  </r>
  <r>
    <x v="17"/>
    <x v="0"/>
    <s v="Not owing"/>
    <n v="0"/>
    <n v="0"/>
    <n v="0"/>
    <x v="4"/>
    <x v="0"/>
  </r>
  <r>
    <x v="17"/>
    <x v="0"/>
    <s v="Not owing"/>
    <n v="0"/>
    <n v="0"/>
    <n v="0"/>
    <x v="5"/>
    <x v="0"/>
  </r>
  <r>
    <x v="17"/>
    <x v="0"/>
    <s v="Not owing"/>
    <n v="0"/>
    <n v="0"/>
    <n v="0"/>
    <x v="6"/>
    <x v="0"/>
  </r>
  <r>
    <x v="17"/>
    <x v="0"/>
    <s v="Not owing"/>
    <n v="0"/>
    <n v="0"/>
    <n v="0"/>
    <x v="7"/>
    <x v="0"/>
  </r>
  <r>
    <x v="17"/>
    <x v="0"/>
    <s v="Not owing"/>
    <n v="0"/>
    <n v="0"/>
    <n v="0"/>
    <x v="8"/>
    <x v="0"/>
  </r>
  <r>
    <x v="17"/>
    <x v="0"/>
    <s v="Not owing"/>
    <n v="0"/>
    <n v="0"/>
    <n v="0"/>
    <x v="9"/>
    <x v="0"/>
  </r>
  <r>
    <x v="17"/>
    <x v="0"/>
    <s v="Not owing"/>
    <n v="0"/>
    <n v="0"/>
    <n v="0"/>
    <x v="10"/>
    <x v="0"/>
  </r>
  <r>
    <x v="18"/>
    <x v="0"/>
    <s v="Reached out to"/>
    <n v="1200"/>
    <n v="0"/>
    <n v="1500"/>
    <x v="0"/>
    <x v="0"/>
  </r>
  <r>
    <x v="18"/>
    <x v="0"/>
    <s v="Reached out to"/>
    <n v="1200"/>
    <n v="0"/>
    <n v="1500"/>
    <x v="1"/>
    <x v="1"/>
  </r>
  <r>
    <x v="18"/>
    <x v="0"/>
    <s v="Reached out to"/>
    <n v="1200"/>
    <n v="0"/>
    <n v="1500"/>
    <x v="2"/>
    <x v="1"/>
  </r>
  <r>
    <x v="18"/>
    <x v="0"/>
    <s v="Reached out to"/>
    <n v="1200"/>
    <n v="0"/>
    <n v="1500"/>
    <x v="3"/>
    <x v="0"/>
  </r>
  <r>
    <x v="18"/>
    <x v="0"/>
    <s v="Reached out to"/>
    <n v="1200"/>
    <n v="0"/>
    <n v="1500"/>
    <x v="4"/>
    <x v="3"/>
  </r>
  <r>
    <x v="18"/>
    <x v="0"/>
    <s v="Reached out to"/>
    <n v="1200"/>
    <n v="0"/>
    <n v="1500"/>
    <x v="5"/>
    <x v="3"/>
  </r>
  <r>
    <x v="18"/>
    <x v="0"/>
    <s v="Reached out to"/>
    <n v="1200"/>
    <n v="0"/>
    <n v="1500"/>
    <x v="6"/>
    <x v="3"/>
  </r>
  <r>
    <x v="18"/>
    <x v="0"/>
    <s v="Reached out to"/>
    <n v="1200"/>
    <n v="0"/>
    <n v="1500"/>
    <x v="7"/>
    <x v="1"/>
  </r>
  <r>
    <x v="18"/>
    <x v="0"/>
    <s v="Reached out to"/>
    <n v="1200"/>
    <n v="0"/>
    <n v="1500"/>
    <x v="8"/>
    <x v="3"/>
  </r>
  <r>
    <x v="18"/>
    <x v="0"/>
    <s v="Reached out to"/>
    <n v="1200"/>
    <n v="0"/>
    <n v="1500"/>
    <x v="9"/>
    <x v="2"/>
  </r>
  <r>
    <x v="18"/>
    <x v="0"/>
    <s v="Reached out to"/>
    <n v="1200"/>
    <n v="0"/>
    <n v="1500"/>
    <x v="10"/>
    <x v="0"/>
  </r>
  <r>
    <x v="19"/>
    <x v="0"/>
    <s v="Reached out to"/>
    <n v="300"/>
    <n v="0"/>
    <n v="1500"/>
    <x v="0"/>
    <x v="0"/>
  </r>
  <r>
    <x v="19"/>
    <x v="0"/>
    <s v="Reached out to"/>
    <n v="300"/>
    <n v="0"/>
    <n v="1500"/>
    <x v="1"/>
    <x v="3"/>
  </r>
  <r>
    <x v="19"/>
    <x v="0"/>
    <s v="Reached out to"/>
    <n v="300"/>
    <n v="0"/>
    <n v="1500"/>
    <x v="2"/>
    <x v="1"/>
  </r>
  <r>
    <x v="19"/>
    <x v="0"/>
    <s v="Reached out to"/>
    <n v="300"/>
    <n v="0"/>
    <n v="1500"/>
    <x v="3"/>
    <x v="2"/>
  </r>
  <r>
    <x v="19"/>
    <x v="0"/>
    <s v="Reached out to"/>
    <n v="300"/>
    <n v="0"/>
    <n v="1500"/>
    <x v="4"/>
    <x v="0"/>
  </r>
  <r>
    <x v="19"/>
    <x v="0"/>
    <s v="Reached out to"/>
    <n v="300"/>
    <n v="0"/>
    <n v="1500"/>
    <x v="5"/>
    <x v="0"/>
  </r>
  <r>
    <x v="19"/>
    <x v="0"/>
    <s v="Reached out to"/>
    <n v="300"/>
    <n v="0"/>
    <n v="1500"/>
    <x v="6"/>
    <x v="1"/>
  </r>
  <r>
    <x v="19"/>
    <x v="0"/>
    <s v="Reached out to"/>
    <n v="300"/>
    <n v="0"/>
    <n v="1500"/>
    <x v="7"/>
    <x v="0"/>
  </r>
  <r>
    <x v="19"/>
    <x v="0"/>
    <s v="Reached out to"/>
    <n v="300"/>
    <n v="0"/>
    <n v="1500"/>
    <x v="8"/>
    <x v="1"/>
  </r>
  <r>
    <x v="19"/>
    <x v="0"/>
    <s v="Reached out to"/>
    <n v="300"/>
    <n v="0"/>
    <n v="1500"/>
    <x v="9"/>
    <x v="0"/>
  </r>
  <r>
    <x v="19"/>
    <x v="0"/>
    <s v="Reached out to"/>
    <n v="300"/>
    <n v="0"/>
    <n v="1500"/>
    <x v="10"/>
    <x v="0"/>
  </r>
  <r>
    <x v="20"/>
    <x v="0"/>
    <s v="Not owing"/>
    <n v="0"/>
    <n v="0"/>
    <n v="0"/>
    <x v="0"/>
    <x v="0"/>
  </r>
  <r>
    <x v="20"/>
    <x v="0"/>
    <s v="Not owing"/>
    <n v="0"/>
    <n v="0"/>
    <n v="0"/>
    <x v="1"/>
    <x v="0"/>
  </r>
  <r>
    <x v="20"/>
    <x v="0"/>
    <s v="Not owing"/>
    <n v="0"/>
    <n v="0"/>
    <n v="0"/>
    <x v="2"/>
    <x v="0"/>
  </r>
  <r>
    <x v="20"/>
    <x v="0"/>
    <s v="Not owing"/>
    <n v="0"/>
    <n v="0"/>
    <n v="0"/>
    <x v="3"/>
    <x v="0"/>
  </r>
  <r>
    <x v="20"/>
    <x v="0"/>
    <s v="Not owing"/>
    <n v="0"/>
    <n v="0"/>
    <n v="0"/>
    <x v="4"/>
    <x v="0"/>
  </r>
  <r>
    <x v="20"/>
    <x v="0"/>
    <s v="Not owing"/>
    <n v="0"/>
    <n v="0"/>
    <n v="0"/>
    <x v="5"/>
    <x v="0"/>
  </r>
  <r>
    <x v="20"/>
    <x v="0"/>
    <s v="Not owing"/>
    <n v="0"/>
    <n v="0"/>
    <n v="0"/>
    <x v="6"/>
    <x v="0"/>
  </r>
  <r>
    <x v="20"/>
    <x v="0"/>
    <s v="Not owing"/>
    <n v="0"/>
    <n v="0"/>
    <n v="0"/>
    <x v="7"/>
    <x v="0"/>
  </r>
  <r>
    <x v="20"/>
    <x v="0"/>
    <s v="Not owing"/>
    <n v="0"/>
    <n v="0"/>
    <n v="0"/>
    <x v="8"/>
    <x v="0"/>
  </r>
  <r>
    <x v="20"/>
    <x v="0"/>
    <s v="Not owing"/>
    <n v="0"/>
    <n v="0"/>
    <n v="0"/>
    <x v="9"/>
    <x v="0"/>
  </r>
  <r>
    <x v="20"/>
    <x v="0"/>
    <s v="Not owing"/>
    <n v="0"/>
    <n v="0"/>
    <n v="0"/>
    <x v="10"/>
    <x v="0"/>
  </r>
  <r>
    <x v="21"/>
    <x v="0"/>
    <s v="Paid"/>
    <n v="300"/>
    <n v="0"/>
    <n v="1500"/>
    <x v="0"/>
    <x v="0"/>
  </r>
  <r>
    <x v="21"/>
    <x v="0"/>
    <s v="Paid"/>
    <n v="300"/>
    <n v="0"/>
    <n v="1500"/>
    <x v="1"/>
    <x v="3"/>
  </r>
  <r>
    <x v="21"/>
    <x v="0"/>
    <s v="Paid"/>
    <n v="300"/>
    <n v="0"/>
    <n v="1500"/>
    <x v="2"/>
    <x v="1"/>
  </r>
  <r>
    <x v="21"/>
    <x v="0"/>
    <s v="Paid"/>
    <n v="300"/>
    <n v="0"/>
    <n v="1500"/>
    <x v="3"/>
    <x v="2"/>
  </r>
  <r>
    <x v="21"/>
    <x v="0"/>
    <s v="Paid"/>
    <n v="300"/>
    <n v="0"/>
    <n v="1500"/>
    <x v="4"/>
    <x v="0"/>
  </r>
  <r>
    <x v="21"/>
    <x v="0"/>
    <s v="Paid"/>
    <n v="300"/>
    <n v="0"/>
    <n v="1500"/>
    <x v="5"/>
    <x v="1"/>
  </r>
  <r>
    <x v="21"/>
    <x v="0"/>
    <s v="Paid"/>
    <n v="300"/>
    <n v="0"/>
    <n v="1500"/>
    <x v="6"/>
    <x v="0"/>
  </r>
  <r>
    <x v="21"/>
    <x v="0"/>
    <s v="Paid"/>
    <n v="300"/>
    <n v="0"/>
    <n v="1500"/>
    <x v="7"/>
    <x v="1"/>
  </r>
  <r>
    <x v="21"/>
    <x v="0"/>
    <s v="Paid"/>
    <n v="300"/>
    <n v="0"/>
    <n v="1500"/>
    <x v="8"/>
    <x v="0"/>
  </r>
  <r>
    <x v="21"/>
    <x v="0"/>
    <s v="Paid"/>
    <n v="300"/>
    <n v="0"/>
    <n v="1500"/>
    <x v="9"/>
    <x v="0"/>
  </r>
  <r>
    <x v="21"/>
    <x v="0"/>
    <s v="Paid"/>
    <n v="300"/>
    <n v="0"/>
    <n v="1500"/>
    <x v="10"/>
    <x v="0"/>
  </r>
  <r>
    <x v="22"/>
    <x v="1"/>
    <s v="Paid"/>
    <n v="0"/>
    <n v="0"/>
    <n v="500"/>
    <x v="0"/>
    <x v="0"/>
  </r>
  <r>
    <x v="22"/>
    <x v="1"/>
    <s v="Paid"/>
    <n v="0"/>
    <n v="0"/>
    <n v="500"/>
    <x v="1"/>
    <x v="0"/>
  </r>
  <r>
    <x v="22"/>
    <x v="1"/>
    <s v="Paid"/>
    <n v="0"/>
    <n v="0"/>
    <n v="500"/>
    <x v="2"/>
    <x v="0"/>
  </r>
  <r>
    <x v="22"/>
    <x v="1"/>
    <s v="Paid"/>
    <n v="0"/>
    <n v="0"/>
    <n v="500"/>
    <x v="3"/>
    <x v="0"/>
  </r>
  <r>
    <x v="22"/>
    <x v="1"/>
    <s v="Paid"/>
    <n v="0"/>
    <n v="0"/>
    <n v="500"/>
    <x v="4"/>
    <x v="0"/>
  </r>
  <r>
    <x v="22"/>
    <x v="1"/>
    <s v="Paid"/>
    <n v="0"/>
    <n v="0"/>
    <n v="500"/>
    <x v="5"/>
    <x v="0"/>
  </r>
  <r>
    <x v="22"/>
    <x v="1"/>
    <s v="Paid"/>
    <n v="0"/>
    <n v="0"/>
    <n v="500"/>
    <x v="6"/>
    <x v="0"/>
  </r>
  <r>
    <x v="22"/>
    <x v="1"/>
    <s v="Paid"/>
    <n v="0"/>
    <n v="0"/>
    <n v="500"/>
    <x v="7"/>
    <x v="0"/>
  </r>
  <r>
    <x v="22"/>
    <x v="1"/>
    <s v="Paid"/>
    <n v="0"/>
    <n v="0"/>
    <n v="500"/>
    <x v="8"/>
    <x v="0"/>
  </r>
  <r>
    <x v="22"/>
    <x v="1"/>
    <s v="Paid"/>
    <n v="0"/>
    <n v="0"/>
    <n v="500"/>
    <x v="9"/>
    <x v="1"/>
  </r>
  <r>
    <x v="22"/>
    <x v="1"/>
    <s v="Paid"/>
    <n v="0"/>
    <n v="0"/>
    <n v="500"/>
    <x v="10"/>
    <x v="0"/>
  </r>
  <r>
    <x v="23"/>
    <x v="0"/>
    <s v="Not owing"/>
    <n v="0"/>
    <n v="0"/>
    <n v="0"/>
    <x v="0"/>
    <x v="0"/>
  </r>
  <r>
    <x v="23"/>
    <x v="0"/>
    <s v="Not owing"/>
    <n v="0"/>
    <n v="0"/>
    <n v="0"/>
    <x v="1"/>
    <x v="0"/>
  </r>
  <r>
    <x v="23"/>
    <x v="0"/>
    <s v="Not owing"/>
    <n v="0"/>
    <n v="0"/>
    <n v="0"/>
    <x v="2"/>
    <x v="0"/>
  </r>
  <r>
    <x v="23"/>
    <x v="0"/>
    <s v="Not owing"/>
    <n v="0"/>
    <n v="0"/>
    <n v="0"/>
    <x v="3"/>
    <x v="0"/>
  </r>
  <r>
    <x v="23"/>
    <x v="0"/>
    <s v="Not owing"/>
    <n v="0"/>
    <n v="0"/>
    <n v="0"/>
    <x v="4"/>
    <x v="0"/>
  </r>
  <r>
    <x v="23"/>
    <x v="0"/>
    <s v="Not owing"/>
    <n v="0"/>
    <n v="0"/>
    <n v="0"/>
    <x v="5"/>
    <x v="0"/>
  </r>
  <r>
    <x v="23"/>
    <x v="0"/>
    <s v="Not owing"/>
    <n v="0"/>
    <n v="0"/>
    <n v="0"/>
    <x v="6"/>
    <x v="0"/>
  </r>
  <r>
    <x v="23"/>
    <x v="0"/>
    <s v="Not owing"/>
    <n v="0"/>
    <n v="0"/>
    <n v="0"/>
    <x v="7"/>
    <x v="0"/>
  </r>
  <r>
    <x v="23"/>
    <x v="0"/>
    <s v="Not owing"/>
    <n v="0"/>
    <n v="0"/>
    <n v="0"/>
    <x v="8"/>
    <x v="0"/>
  </r>
  <r>
    <x v="23"/>
    <x v="0"/>
    <s v="Not owing"/>
    <n v="0"/>
    <n v="0"/>
    <n v="0"/>
    <x v="9"/>
    <x v="0"/>
  </r>
  <r>
    <x v="23"/>
    <x v="0"/>
    <s v="Not owing"/>
    <n v="0"/>
    <n v="0"/>
    <n v="0"/>
    <x v="10"/>
    <x v="0"/>
  </r>
  <r>
    <x v="24"/>
    <x v="0"/>
    <s v="Paid"/>
    <n v="0"/>
    <n v="0"/>
    <n v="500"/>
    <x v="0"/>
    <x v="0"/>
  </r>
  <r>
    <x v="24"/>
    <x v="0"/>
    <s v="Paid"/>
    <n v="0"/>
    <n v="0"/>
    <n v="500"/>
    <x v="1"/>
    <x v="0"/>
  </r>
  <r>
    <x v="24"/>
    <x v="0"/>
    <s v="Paid"/>
    <n v="0"/>
    <n v="0"/>
    <n v="500"/>
    <x v="2"/>
    <x v="1"/>
  </r>
  <r>
    <x v="24"/>
    <x v="0"/>
    <s v="Paid"/>
    <n v="0"/>
    <n v="0"/>
    <n v="500"/>
    <x v="3"/>
    <x v="0"/>
  </r>
  <r>
    <x v="24"/>
    <x v="0"/>
    <s v="Paid"/>
    <n v="0"/>
    <n v="0"/>
    <n v="500"/>
    <x v="4"/>
    <x v="0"/>
  </r>
  <r>
    <x v="24"/>
    <x v="0"/>
    <s v="Paid"/>
    <n v="0"/>
    <n v="0"/>
    <n v="500"/>
    <x v="5"/>
    <x v="0"/>
  </r>
  <r>
    <x v="24"/>
    <x v="0"/>
    <s v="Paid"/>
    <n v="0"/>
    <n v="0"/>
    <n v="500"/>
    <x v="6"/>
    <x v="0"/>
  </r>
  <r>
    <x v="24"/>
    <x v="0"/>
    <s v="Paid"/>
    <n v="0"/>
    <n v="0"/>
    <n v="500"/>
    <x v="7"/>
    <x v="0"/>
  </r>
  <r>
    <x v="24"/>
    <x v="0"/>
    <s v="Paid"/>
    <n v="0"/>
    <n v="0"/>
    <n v="500"/>
    <x v="8"/>
    <x v="0"/>
  </r>
  <r>
    <x v="24"/>
    <x v="0"/>
    <s v="Paid"/>
    <n v="0"/>
    <n v="0"/>
    <n v="500"/>
    <x v="9"/>
    <x v="0"/>
  </r>
  <r>
    <x v="24"/>
    <x v="0"/>
    <s v="Paid"/>
    <n v="0"/>
    <n v="0"/>
    <n v="500"/>
    <x v="10"/>
    <x v="0"/>
  </r>
  <r>
    <x v="25"/>
    <x v="0"/>
    <s v="Reached out to"/>
    <n v="0"/>
    <n v="0"/>
    <n v="1000"/>
    <x v="0"/>
    <x v="0"/>
  </r>
  <r>
    <x v="25"/>
    <x v="0"/>
    <s v="Reached out to"/>
    <n v="0"/>
    <n v="0"/>
    <n v="1000"/>
    <x v="1"/>
    <x v="0"/>
  </r>
  <r>
    <x v="25"/>
    <x v="0"/>
    <s v="Reached out to"/>
    <n v="0"/>
    <n v="0"/>
    <n v="1000"/>
    <x v="2"/>
    <x v="0"/>
  </r>
  <r>
    <x v="25"/>
    <x v="0"/>
    <s v="Reached out to"/>
    <n v="0"/>
    <n v="0"/>
    <n v="1000"/>
    <x v="3"/>
    <x v="1"/>
  </r>
  <r>
    <x v="25"/>
    <x v="0"/>
    <s v="Reached out to"/>
    <n v="0"/>
    <n v="0"/>
    <n v="1000"/>
    <x v="4"/>
    <x v="0"/>
  </r>
  <r>
    <x v="25"/>
    <x v="0"/>
    <s v="Reached out to"/>
    <n v="0"/>
    <n v="0"/>
    <n v="1000"/>
    <x v="5"/>
    <x v="0"/>
  </r>
  <r>
    <x v="25"/>
    <x v="0"/>
    <s v="Reached out to"/>
    <n v="0"/>
    <n v="0"/>
    <n v="1000"/>
    <x v="6"/>
    <x v="0"/>
  </r>
  <r>
    <x v="25"/>
    <x v="0"/>
    <s v="Reached out to"/>
    <n v="0"/>
    <n v="0"/>
    <n v="1000"/>
    <x v="7"/>
    <x v="1"/>
  </r>
  <r>
    <x v="25"/>
    <x v="0"/>
    <s v="Reached out to"/>
    <n v="0"/>
    <n v="0"/>
    <n v="1000"/>
    <x v="8"/>
    <x v="0"/>
  </r>
  <r>
    <x v="25"/>
    <x v="0"/>
    <s v="Reached out to"/>
    <n v="0"/>
    <n v="0"/>
    <n v="1000"/>
    <x v="9"/>
    <x v="0"/>
  </r>
  <r>
    <x v="25"/>
    <x v="0"/>
    <s v="Reached out to"/>
    <n v="0"/>
    <n v="0"/>
    <n v="1000"/>
    <x v="10"/>
    <x v="0"/>
  </r>
  <r>
    <x v="26"/>
    <x v="1"/>
    <s v="Reached out to"/>
    <n v="600"/>
    <n v="0"/>
    <n v="500"/>
    <x v="0"/>
    <x v="0"/>
  </r>
  <r>
    <x v="26"/>
    <x v="1"/>
    <s v="Reached out to"/>
    <n v="600"/>
    <n v="0"/>
    <n v="500"/>
    <x v="1"/>
    <x v="0"/>
  </r>
  <r>
    <x v="26"/>
    <x v="1"/>
    <s v="Reached out to"/>
    <n v="600"/>
    <n v="0"/>
    <n v="500"/>
    <x v="2"/>
    <x v="0"/>
  </r>
  <r>
    <x v="26"/>
    <x v="1"/>
    <s v="Reached out to"/>
    <n v="600"/>
    <n v="0"/>
    <n v="500"/>
    <x v="3"/>
    <x v="1"/>
  </r>
  <r>
    <x v="26"/>
    <x v="1"/>
    <s v="Reached out to"/>
    <n v="600"/>
    <n v="0"/>
    <n v="500"/>
    <x v="4"/>
    <x v="3"/>
  </r>
  <r>
    <x v="26"/>
    <x v="1"/>
    <s v="Reached out to"/>
    <n v="600"/>
    <n v="0"/>
    <n v="500"/>
    <x v="5"/>
    <x v="0"/>
  </r>
  <r>
    <x v="26"/>
    <x v="1"/>
    <s v="Reached out to"/>
    <n v="600"/>
    <n v="0"/>
    <n v="500"/>
    <x v="6"/>
    <x v="0"/>
  </r>
  <r>
    <x v="26"/>
    <x v="1"/>
    <s v="Reached out to"/>
    <n v="600"/>
    <n v="0"/>
    <n v="500"/>
    <x v="7"/>
    <x v="0"/>
  </r>
  <r>
    <x v="26"/>
    <x v="1"/>
    <s v="Reached out to"/>
    <n v="600"/>
    <n v="0"/>
    <n v="500"/>
    <x v="8"/>
    <x v="0"/>
  </r>
  <r>
    <x v="26"/>
    <x v="1"/>
    <s v="Reached out to"/>
    <n v="600"/>
    <n v="0"/>
    <n v="500"/>
    <x v="9"/>
    <x v="0"/>
  </r>
  <r>
    <x v="26"/>
    <x v="1"/>
    <s v="Reached out to"/>
    <n v="600"/>
    <n v="0"/>
    <n v="500"/>
    <x v="10"/>
    <x v="3"/>
  </r>
  <r>
    <x v="27"/>
    <x v="1"/>
    <s v="Paid"/>
    <n v="0"/>
    <n v="0"/>
    <n v="2000"/>
    <x v="0"/>
    <x v="1"/>
  </r>
  <r>
    <x v="27"/>
    <x v="1"/>
    <s v="Paid"/>
    <n v="0"/>
    <n v="0"/>
    <n v="2000"/>
    <x v="1"/>
    <x v="1"/>
  </r>
  <r>
    <x v="27"/>
    <x v="1"/>
    <s v="Paid"/>
    <n v="0"/>
    <n v="0"/>
    <n v="2000"/>
    <x v="2"/>
    <x v="0"/>
  </r>
  <r>
    <x v="27"/>
    <x v="1"/>
    <s v="Paid"/>
    <n v="0"/>
    <n v="0"/>
    <n v="2000"/>
    <x v="3"/>
    <x v="0"/>
  </r>
  <r>
    <x v="27"/>
    <x v="1"/>
    <s v="Paid"/>
    <n v="0"/>
    <n v="0"/>
    <n v="2000"/>
    <x v="4"/>
    <x v="0"/>
  </r>
  <r>
    <x v="27"/>
    <x v="1"/>
    <s v="Paid"/>
    <n v="0"/>
    <n v="0"/>
    <n v="2000"/>
    <x v="5"/>
    <x v="1"/>
  </r>
  <r>
    <x v="27"/>
    <x v="1"/>
    <s v="Paid"/>
    <n v="0"/>
    <n v="0"/>
    <n v="2000"/>
    <x v="6"/>
    <x v="0"/>
  </r>
  <r>
    <x v="27"/>
    <x v="1"/>
    <s v="Paid"/>
    <n v="0"/>
    <n v="0"/>
    <n v="2000"/>
    <x v="7"/>
    <x v="0"/>
  </r>
  <r>
    <x v="27"/>
    <x v="1"/>
    <s v="Paid"/>
    <n v="0"/>
    <n v="0"/>
    <n v="2000"/>
    <x v="8"/>
    <x v="1"/>
  </r>
  <r>
    <x v="27"/>
    <x v="1"/>
    <s v="Paid"/>
    <n v="0"/>
    <n v="0"/>
    <n v="2000"/>
    <x v="9"/>
    <x v="0"/>
  </r>
  <r>
    <x v="27"/>
    <x v="1"/>
    <s v="Paid"/>
    <n v="0"/>
    <n v="0"/>
    <n v="2000"/>
    <x v="10"/>
    <x v="0"/>
  </r>
  <r>
    <x v="28"/>
    <x v="1"/>
    <s v="Reached out to"/>
    <n v="0"/>
    <n v="0"/>
    <n v="1000"/>
    <x v="0"/>
    <x v="0"/>
  </r>
  <r>
    <x v="28"/>
    <x v="1"/>
    <s v="Reached out to"/>
    <n v="0"/>
    <n v="0"/>
    <n v="1000"/>
    <x v="1"/>
    <x v="0"/>
  </r>
  <r>
    <x v="28"/>
    <x v="1"/>
    <s v="Reached out to"/>
    <n v="0"/>
    <n v="0"/>
    <n v="1000"/>
    <x v="2"/>
    <x v="0"/>
  </r>
  <r>
    <x v="28"/>
    <x v="1"/>
    <s v="Reached out to"/>
    <n v="0"/>
    <n v="0"/>
    <n v="1000"/>
    <x v="3"/>
    <x v="0"/>
  </r>
  <r>
    <x v="28"/>
    <x v="1"/>
    <s v="Reached out to"/>
    <n v="0"/>
    <n v="0"/>
    <n v="1000"/>
    <x v="4"/>
    <x v="0"/>
  </r>
  <r>
    <x v="28"/>
    <x v="1"/>
    <s v="Reached out to"/>
    <n v="0"/>
    <n v="0"/>
    <n v="1000"/>
    <x v="5"/>
    <x v="0"/>
  </r>
  <r>
    <x v="28"/>
    <x v="1"/>
    <s v="Reached out to"/>
    <n v="0"/>
    <n v="0"/>
    <n v="1000"/>
    <x v="6"/>
    <x v="0"/>
  </r>
  <r>
    <x v="28"/>
    <x v="1"/>
    <s v="Reached out to"/>
    <n v="0"/>
    <n v="0"/>
    <n v="1000"/>
    <x v="7"/>
    <x v="0"/>
  </r>
  <r>
    <x v="28"/>
    <x v="1"/>
    <s v="Reached out to"/>
    <n v="0"/>
    <n v="0"/>
    <n v="1000"/>
    <x v="9"/>
    <x v="1"/>
  </r>
  <r>
    <x v="28"/>
    <x v="1"/>
    <s v="Reached out to"/>
    <n v="0"/>
    <n v="0"/>
    <n v="1000"/>
    <x v="10"/>
    <x v="1"/>
  </r>
  <r>
    <x v="29"/>
    <x v="1"/>
    <s v="Reached out to"/>
    <n v="0"/>
    <n v="0"/>
    <n v="1000"/>
    <x v="0"/>
    <x v="0"/>
  </r>
  <r>
    <x v="29"/>
    <x v="1"/>
    <s v="Reached out to"/>
    <n v="0"/>
    <n v="0"/>
    <n v="1000"/>
    <x v="1"/>
    <x v="0"/>
  </r>
  <r>
    <x v="29"/>
    <x v="1"/>
    <s v="Reached out to"/>
    <n v="0"/>
    <n v="0"/>
    <n v="1000"/>
    <x v="2"/>
    <x v="0"/>
  </r>
  <r>
    <x v="29"/>
    <x v="1"/>
    <s v="Reached out to"/>
    <n v="0"/>
    <n v="0"/>
    <n v="1000"/>
    <x v="3"/>
    <x v="0"/>
  </r>
  <r>
    <x v="29"/>
    <x v="1"/>
    <s v="Reached out to"/>
    <n v="0"/>
    <n v="0"/>
    <n v="1000"/>
    <x v="4"/>
    <x v="0"/>
  </r>
  <r>
    <x v="29"/>
    <x v="1"/>
    <s v="Reached out to"/>
    <n v="0"/>
    <n v="0"/>
    <n v="1000"/>
    <x v="5"/>
    <x v="0"/>
  </r>
  <r>
    <x v="29"/>
    <x v="1"/>
    <s v="Reached out to"/>
    <n v="0"/>
    <n v="0"/>
    <n v="1000"/>
    <x v="6"/>
    <x v="0"/>
  </r>
  <r>
    <x v="29"/>
    <x v="1"/>
    <s v="Reached out to"/>
    <n v="0"/>
    <n v="0"/>
    <n v="1000"/>
    <x v="7"/>
    <x v="1"/>
  </r>
  <r>
    <x v="29"/>
    <x v="1"/>
    <s v="Reached out to"/>
    <n v="0"/>
    <n v="0"/>
    <n v="1000"/>
    <x v="8"/>
    <x v="0"/>
  </r>
  <r>
    <x v="29"/>
    <x v="1"/>
    <s v="Reached out to"/>
    <n v="0"/>
    <n v="0"/>
    <n v="1000"/>
    <x v="9"/>
    <x v="0"/>
  </r>
  <r>
    <x v="29"/>
    <x v="1"/>
    <s v="Reached out to"/>
    <n v="0"/>
    <n v="0"/>
    <n v="1000"/>
    <x v="10"/>
    <x v="1"/>
  </r>
  <r>
    <x v="30"/>
    <x v="1"/>
    <s v="Paid"/>
    <n v="0"/>
    <n v="0"/>
    <n v="1500"/>
    <x v="0"/>
    <x v="0"/>
  </r>
  <r>
    <x v="30"/>
    <x v="1"/>
    <s v="Paid"/>
    <n v="0"/>
    <n v="0"/>
    <n v="1500"/>
    <x v="1"/>
    <x v="0"/>
  </r>
  <r>
    <x v="30"/>
    <x v="1"/>
    <s v="Paid"/>
    <n v="0"/>
    <n v="0"/>
    <n v="1500"/>
    <x v="2"/>
    <x v="1"/>
  </r>
  <r>
    <x v="30"/>
    <x v="1"/>
    <s v="Paid"/>
    <n v="0"/>
    <n v="0"/>
    <n v="1500"/>
    <x v="3"/>
    <x v="0"/>
  </r>
  <r>
    <x v="30"/>
    <x v="1"/>
    <s v="Paid"/>
    <n v="0"/>
    <n v="0"/>
    <n v="1500"/>
    <x v="4"/>
    <x v="0"/>
  </r>
  <r>
    <x v="30"/>
    <x v="1"/>
    <s v="Paid"/>
    <n v="0"/>
    <n v="0"/>
    <n v="1500"/>
    <x v="5"/>
    <x v="2"/>
  </r>
  <r>
    <x v="30"/>
    <x v="1"/>
    <s v="Paid"/>
    <n v="0"/>
    <n v="0"/>
    <n v="1500"/>
    <x v="6"/>
    <x v="0"/>
  </r>
  <r>
    <x v="30"/>
    <x v="1"/>
    <s v="Paid"/>
    <n v="0"/>
    <n v="0"/>
    <n v="1500"/>
    <x v="7"/>
    <x v="0"/>
  </r>
  <r>
    <x v="30"/>
    <x v="1"/>
    <s v="Paid"/>
    <n v="0"/>
    <n v="0"/>
    <n v="1500"/>
    <x v="8"/>
    <x v="0"/>
  </r>
  <r>
    <x v="30"/>
    <x v="1"/>
    <s v="Paid"/>
    <n v="0"/>
    <n v="0"/>
    <n v="1500"/>
    <x v="9"/>
    <x v="1"/>
  </r>
  <r>
    <x v="30"/>
    <x v="1"/>
    <s v="Paid"/>
    <n v="0"/>
    <n v="0"/>
    <n v="1500"/>
    <x v="10"/>
    <x v="1"/>
  </r>
  <r>
    <x v="31"/>
    <x v="0"/>
    <s v="Reached out to"/>
    <n v="300"/>
    <n v="0"/>
    <n v="1500"/>
    <x v="0"/>
    <x v="3"/>
  </r>
  <r>
    <x v="31"/>
    <x v="0"/>
    <s v="Reached out to"/>
    <n v="300"/>
    <n v="0"/>
    <n v="1500"/>
    <x v="1"/>
    <x v="1"/>
  </r>
  <r>
    <x v="31"/>
    <x v="0"/>
    <s v="Reached out to"/>
    <n v="300"/>
    <n v="0"/>
    <n v="1500"/>
    <x v="2"/>
    <x v="0"/>
  </r>
  <r>
    <x v="31"/>
    <x v="0"/>
    <s v="Reached out to"/>
    <n v="300"/>
    <n v="0"/>
    <n v="1500"/>
    <x v="3"/>
    <x v="0"/>
  </r>
  <r>
    <x v="31"/>
    <x v="0"/>
    <s v="Reached out to"/>
    <n v="300"/>
    <n v="0"/>
    <n v="1500"/>
    <x v="4"/>
    <x v="0"/>
  </r>
  <r>
    <x v="31"/>
    <x v="0"/>
    <s v="Reached out to"/>
    <n v="300"/>
    <n v="0"/>
    <n v="1500"/>
    <x v="5"/>
    <x v="1"/>
  </r>
  <r>
    <x v="31"/>
    <x v="0"/>
    <s v="Reached out to"/>
    <n v="300"/>
    <n v="0"/>
    <n v="1500"/>
    <x v="6"/>
    <x v="0"/>
  </r>
  <r>
    <x v="31"/>
    <x v="0"/>
    <s v="Reached out to"/>
    <n v="300"/>
    <n v="0"/>
    <n v="1500"/>
    <x v="7"/>
    <x v="0"/>
  </r>
  <r>
    <x v="31"/>
    <x v="0"/>
    <s v="Reached out to"/>
    <n v="300"/>
    <n v="0"/>
    <n v="1500"/>
    <x v="8"/>
    <x v="1"/>
  </r>
  <r>
    <x v="31"/>
    <x v="0"/>
    <s v="Reached out to"/>
    <n v="300"/>
    <n v="0"/>
    <n v="1500"/>
    <x v="9"/>
    <x v="0"/>
  </r>
  <r>
    <x v="31"/>
    <x v="0"/>
    <s v="Reached out to"/>
    <n v="300"/>
    <n v="0"/>
    <n v="1500"/>
    <x v="10"/>
    <x v="2"/>
  </r>
  <r>
    <x v="32"/>
    <x v="1"/>
    <s v="Reached out to"/>
    <n v="600"/>
    <n v="0"/>
    <n v="1000"/>
    <x v="0"/>
    <x v="0"/>
  </r>
  <r>
    <x v="32"/>
    <x v="1"/>
    <s v="Reached out to"/>
    <n v="600"/>
    <n v="0"/>
    <n v="1000"/>
    <x v="1"/>
    <x v="3"/>
  </r>
  <r>
    <x v="32"/>
    <x v="1"/>
    <s v="Reached out to"/>
    <n v="600"/>
    <n v="0"/>
    <n v="1000"/>
    <x v="2"/>
    <x v="0"/>
  </r>
  <r>
    <x v="32"/>
    <x v="1"/>
    <s v="Reached out to"/>
    <n v="600"/>
    <n v="0"/>
    <n v="1000"/>
    <x v="3"/>
    <x v="0"/>
  </r>
  <r>
    <x v="32"/>
    <x v="1"/>
    <s v="Reached out to"/>
    <n v="600"/>
    <n v="0"/>
    <n v="1000"/>
    <x v="4"/>
    <x v="1"/>
  </r>
  <r>
    <x v="32"/>
    <x v="1"/>
    <s v="Reached out to"/>
    <n v="600"/>
    <n v="0"/>
    <n v="1000"/>
    <x v="5"/>
    <x v="0"/>
  </r>
  <r>
    <x v="32"/>
    <x v="1"/>
    <s v="Reached out to"/>
    <n v="600"/>
    <n v="0"/>
    <n v="1000"/>
    <x v="6"/>
    <x v="3"/>
  </r>
  <r>
    <x v="32"/>
    <x v="1"/>
    <s v="Reached out to"/>
    <n v="600"/>
    <n v="0"/>
    <n v="1000"/>
    <x v="7"/>
    <x v="1"/>
  </r>
  <r>
    <x v="32"/>
    <x v="1"/>
    <s v="Reached out to"/>
    <n v="600"/>
    <n v="0"/>
    <n v="1000"/>
    <x v="8"/>
    <x v="0"/>
  </r>
  <r>
    <x v="32"/>
    <x v="1"/>
    <s v="Reached out to"/>
    <n v="600"/>
    <n v="0"/>
    <n v="1000"/>
    <x v="9"/>
    <x v="0"/>
  </r>
  <r>
    <x v="32"/>
    <x v="1"/>
    <s v="Reached out to"/>
    <n v="600"/>
    <n v="0"/>
    <n v="1000"/>
    <x v="10"/>
    <x v="0"/>
  </r>
  <r>
    <x v="33"/>
    <x v="0"/>
    <s v="Paid"/>
    <n v="0"/>
    <n v="0"/>
    <n v="500"/>
    <x v="0"/>
    <x v="0"/>
  </r>
  <r>
    <x v="33"/>
    <x v="0"/>
    <s v="Paid"/>
    <n v="0"/>
    <n v="0"/>
    <n v="500"/>
    <x v="1"/>
    <x v="0"/>
  </r>
  <r>
    <x v="33"/>
    <x v="0"/>
    <s v="Paid"/>
    <n v="0"/>
    <n v="0"/>
    <n v="500"/>
    <x v="2"/>
    <x v="0"/>
  </r>
  <r>
    <x v="33"/>
    <x v="0"/>
    <s v="Paid"/>
    <n v="0"/>
    <n v="0"/>
    <n v="500"/>
    <x v="3"/>
    <x v="0"/>
  </r>
  <r>
    <x v="33"/>
    <x v="0"/>
    <s v="Paid"/>
    <n v="0"/>
    <n v="0"/>
    <n v="500"/>
    <x v="4"/>
    <x v="0"/>
  </r>
  <r>
    <x v="33"/>
    <x v="0"/>
    <s v="Paid"/>
    <n v="0"/>
    <n v="0"/>
    <n v="500"/>
    <x v="5"/>
    <x v="2"/>
  </r>
  <r>
    <x v="33"/>
    <x v="0"/>
    <s v="Paid"/>
    <n v="0"/>
    <n v="0"/>
    <n v="500"/>
    <x v="6"/>
    <x v="1"/>
  </r>
  <r>
    <x v="33"/>
    <x v="0"/>
    <s v="Paid"/>
    <n v="0"/>
    <n v="0"/>
    <n v="500"/>
    <x v="7"/>
    <x v="0"/>
  </r>
  <r>
    <x v="33"/>
    <x v="0"/>
    <s v="Paid"/>
    <n v="0"/>
    <n v="0"/>
    <n v="500"/>
    <x v="8"/>
    <x v="0"/>
  </r>
  <r>
    <x v="33"/>
    <x v="0"/>
    <s v="Paid"/>
    <n v="0"/>
    <n v="0"/>
    <n v="500"/>
    <x v="9"/>
    <x v="0"/>
  </r>
  <r>
    <x v="33"/>
    <x v="0"/>
    <s v="Paid"/>
    <n v="0"/>
    <n v="0"/>
    <n v="500"/>
    <x v="10"/>
    <x v="0"/>
  </r>
  <r>
    <x v="34"/>
    <x v="1"/>
    <s v="Paid"/>
    <n v="0"/>
    <n v="0"/>
    <n v="1000"/>
    <x v="0"/>
    <x v="0"/>
  </r>
  <r>
    <x v="34"/>
    <x v="1"/>
    <s v="Paid"/>
    <n v="0"/>
    <n v="0"/>
    <n v="1000"/>
    <x v="1"/>
    <x v="0"/>
  </r>
  <r>
    <x v="34"/>
    <x v="1"/>
    <s v="Paid"/>
    <n v="0"/>
    <n v="0"/>
    <n v="1000"/>
    <x v="2"/>
    <x v="0"/>
  </r>
  <r>
    <x v="34"/>
    <x v="1"/>
    <s v="Paid"/>
    <n v="0"/>
    <n v="0"/>
    <n v="1000"/>
    <x v="3"/>
    <x v="1"/>
  </r>
  <r>
    <x v="34"/>
    <x v="1"/>
    <s v="Paid"/>
    <n v="0"/>
    <n v="0"/>
    <n v="1000"/>
    <x v="4"/>
    <x v="0"/>
  </r>
  <r>
    <x v="34"/>
    <x v="1"/>
    <s v="Paid"/>
    <n v="0"/>
    <n v="0"/>
    <n v="1000"/>
    <x v="5"/>
    <x v="0"/>
  </r>
  <r>
    <x v="34"/>
    <x v="1"/>
    <s v="Paid"/>
    <n v="0"/>
    <n v="0"/>
    <n v="1000"/>
    <x v="6"/>
    <x v="0"/>
  </r>
  <r>
    <x v="34"/>
    <x v="1"/>
    <s v="Paid"/>
    <n v="0"/>
    <n v="0"/>
    <n v="1000"/>
    <x v="7"/>
    <x v="1"/>
  </r>
  <r>
    <x v="34"/>
    <x v="1"/>
    <s v="Paid"/>
    <n v="0"/>
    <n v="0"/>
    <n v="1000"/>
    <x v="8"/>
    <x v="0"/>
  </r>
  <r>
    <x v="34"/>
    <x v="1"/>
    <s v="Paid"/>
    <n v="0"/>
    <n v="0"/>
    <n v="1000"/>
    <x v="9"/>
    <x v="0"/>
  </r>
  <r>
    <x v="34"/>
    <x v="1"/>
    <s v="Paid"/>
    <n v="0"/>
    <n v="0"/>
    <n v="1000"/>
    <x v="10"/>
    <x v="0"/>
  </r>
  <r>
    <x v="35"/>
    <x v="0"/>
    <s v="Not owing"/>
    <n v="0"/>
    <n v="0"/>
    <n v="0"/>
    <x v="0"/>
    <x v="0"/>
  </r>
  <r>
    <x v="35"/>
    <x v="0"/>
    <s v="Not owing"/>
    <n v="0"/>
    <n v="0"/>
    <n v="0"/>
    <x v="1"/>
    <x v="0"/>
  </r>
  <r>
    <x v="35"/>
    <x v="0"/>
    <s v="Not owing"/>
    <n v="0"/>
    <n v="0"/>
    <n v="0"/>
    <x v="2"/>
    <x v="0"/>
  </r>
  <r>
    <x v="35"/>
    <x v="0"/>
    <s v="Not owing"/>
    <n v="0"/>
    <n v="0"/>
    <n v="0"/>
    <x v="3"/>
    <x v="2"/>
  </r>
  <r>
    <x v="35"/>
    <x v="0"/>
    <s v="Not owing"/>
    <n v="0"/>
    <n v="0"/>
    <n v="0"/>
    <x v="4"/>
    <x v="0"/>
  </r>
  <r>
    <x v="35"/>
    <x v="0"/>
    <s v="Not owing"/>
    <n v="0"/>
    <n v="0"/>
    <n v="0"/>
    <x v="5"/>
    <x v="0"/>
  </r>
  <r>
    <x v="35"/>
    <x v="0"/>
    <s v="Not owing"/>
    <n v="0"/>
    <n v="0"/>
    <n v="0"/>
    <x v="6"/>
    <x v="0"/>
  </r>
  <r>
    <x v="35"/>
    <x v="0"/>
    <s v="Not owing"/>
    <n v="0"/>
    <n v="0"/>
    <n v="0"/>
    <x v="7"/>
    <x v="0"/>
  </r>
  <r>
    <x v="35"/>
    <x v="0"/>
    <s v="Not owing"/>
    <n v="0"/>
    <n v="0"/>
    <n v="0"/>
    <x v="8"/>
    <x v="2"/>
  </r>
  <r>
    <x v="35"/>
    <x v="0"/>
    <s v="Not owing"/>
    <n v="0"/>
    <n v="0"/>
    <n v="0"/>
    <x v="9"/>
    <x v="2"/>
  </r>
  <r>
    <x v="35"/>
    <x v="0"/>
    <s v="Not owing"/>
    <n v="0"/>
    <n v="0"/>
    <n v="0"/>
    <x v="10"/>
    <x v="0"/>
  </r>
  <r>
    <x v="36"/>
    <x v="0"/>
    <s v="Paid"/>
    <n v="600"/>
    <n v="0"/>
    <n v="1000"/>
    <x v="0"/>
    <x v="0"/>
  </r>
  <r>
    <x v="36"/>
    <x v="0"/>
    <s v="Paid"/>
    <n v="600"/>
    <n v="0"/>
    <n v="1000"/>
    <x v="1"/>
    <x v="3"/>
  </r>
  <r>
    <x v="36"/>
    <x v="0"/>
    <s v="Paid"/>
    <n v="600"/>
    <n v="0"/>
    <n v="1000"/>
    <x v="2"/>
    <x v="0"/>
  </r>
  <r>
    <x v="36"/>
    <x v="0"/>
    <s v="Paid"/>
    <n v="600"/>
    <n v="0"/>
    <n v="1000"/>
    <x v="3"/>
    <x v="1"/>
  </r>
  <r>
    <x v="36"/>
    <x v="0"/>
    <s v="Paid"/>
    <n v="600"/>
    <n v="0"/>
    <n v="1000"/>
    <x v="4"/>
    <x v="1"/>
  </r>
  <r>
    <x v="36"/>
    <x v="0"/>
    <s v="Paid"/>
    <n v="600"/>
    <n v="0"/>
    <n v="1000"/>
    <x v="5"/>
    <x v="3"/>
  </r>
  <r>
    <x v="36"/>
    <x v="0"/>
    <s v="Paid"/>
    <n v="600"/>
    <n v="0"/>
    <n v="1000"/>
    <x v="6"/>
    <x v="0"/>
  </r>
  <r>
    <x v="36"/>
    <x v="0"/>
    <s v="Paid"/>
    <n v="600"/>
    <n v="0"/>
    <n v="1000"/>
    <x v="7"/>
    <x v="0"/>
  </r>
  <r>
    <x v="36"/>
    <x v="0"/>
    <s v="Paid"/>
    <n v="600"/>
    <n v="0"/>
    <n v="1000"/>
    <x v="8"/>
    <x v="0"/>
  </r>
  <r>
    <x v="36"/>
    <x v="0"/>
    <s v="Paid"/>
    <n v="600"/>
    <n v="0"/>
    <n v="1000"/>
    <x v="9"/>
    <x v="0"/>
  </r>
  <r>
    <x v="36"/>
    <x v="0"/>
    <s v="Paid"/>
    <n v="600"/>
    <n v="0"/>
    <n v="1000"/>
    <x v="10"/>
    <x v="0"/>
  </r>
  <r>
    <x v="37"/>
    <x v="0"/>
    <s v="Not owing"/>
    <n v="0"/>
    <n v="0"/>
    <n v="0"/>
    <x v="0"/>
    <x v="0"/>
  </r>
  <r>
    <x v="37"/>
    <x v="0"/>
    <s v="Not owing"/>
    <n v="0"/>
    <n v="0"/>
    <n v="0"/>
    <x v="1"/>
    <x v="0"/>
  </r>
  <r>
    <x v="37"/>
    <x v="0"/>
    <s v="Not owing"/>
    <n v="0"/>
    <n v="0"/>
    <n v="0"/>
    <x v="2"/>
    <x v="0"/>
  </r>
  <r>
    <x v="37"/>
    <x v="0"/>
    <s v="Not owing"/>
    <n v="0"/>
    <n v="0"/>
    <n v="0"/>
    <x v="3"/>
    <x v="0"/>
  </r>
  <r>
    <x v="37"/>
    <x v="0"/>
    <s v="Not owing"/>
    <n v="0"/>
    <n v="0"/>
    <n v="0"/>
    <x v="4"/>
    <x v="0"/>
  </r>
  <r>
    <x v="37"/>
    <x v="0"/>
    <s v="Not owing"/>
    <n v="0"/>
    <n v="0"/>
    <n v="0"/>
    <x v="5"/>
    <x v="2"/>
  </r>
  <r>
    <x v="37"/>
    <x v="0"/>
    <s v="Not owing"/>
    <n v="0"/>
    <n v="0"/>
    <n v="0"/>
    <x v="6"/>
    <x v="0"/>
  </r>
  <r>
    <x v="37"/>
    <x v="0"/>
    <s v="Not owing"/>
    <n v="0"/>
    <n v="0"/>
    <n v="0"/>
    <x v="7"/>
    <x v="0"/>
  </r>
  <r>
    <x v="37"/>
    <x v="0"/>
    <s v="Not owing"/>
    <n v="0"/>
    <n v="0"/>
    <n v="0"/>
    <x v="8"/>
    <x v="0"/>
  </r>
  <r>
    <x v="37"/>
    <x v="0"/>
    <s v="Not owing"/>
    <n v="0"/>
    <n v="0"/>
    <n v="0"/>
    <x v="9"/>
    <x v="0"/>
  </r>
  <r>
    <x v="37"/>
    <x v="0"/>
    <s v="Not owing"/>
    <n v="0"/>
    <n v="0"/>
    <n v="0"/>
    <x v="10"/>
    <x v="0"/>
  </r>
  <r>
    <x v="38"/>
    <x v="1"/>
    <s v="Reached out to"/>
    <n v="600"/>
    <n v="0"/>
    <n v="0"/>
    <x v="0"/>
    <x v="0"/>
  </r>
  <r>
    <x v="38"/>
    <x v="1"/>
    <s v="Reached out to"/>
    <n v="600"/>
    <n v="0"/>
    <n v="0"/>
    <x v="1"/>
    <x v="0"/>
  </r>
  <r>
    <x v="38"/>
    <x v="1"/>
    <s v="Reached out to"/>
    <n v="600"/>
    <n v="0"/>
    <n v="0"/>
    <x v="2"/>
    <x v="0"/>
  </r>
  <r>
    <x v="38"/>
    <x v="1"/>
    <s v="Reached out to"/>
    <n v="600"/>
    <n v="0"/>
    <n v="0"/>
    <x v="3"/>
    <x v="0"/>
  </r>
  <r>
    <x v="38"/>
    <x v="1"/>
    <s v="Reached out to"/>
    <n v="600"/>
    <n v="0"/>
    <n v="0"/>
    <x v="4"/>
    <x v="0"/>
  </r>
  <r>
    <x v="38"/>
    <x v="1"/>
    <s v="Reached out to"/>
    <n v="600"/>
    <n v="0"/>
    <n v="0"/>
    <x v="5"/>
    <x v="0"/>
  </r>
  <r>
    <x v="38"/>
    <x v="1"/>
    <s v="Reached out to"/>
    <n v="600"/>
    <n v="0"/>
    <n v="0"/>
    <x v="6"/>
    <x v="3"/>
  </r>
  <r>
    <x v="38"/>
    <x v="1"/>
    <s v="Reached out to"/>
    <n v="600"/>
    <n v="0"/>
    <n v="0"/>
    <x v="7"/>
    <x v="3"/>
  </r>
  <r>
    <x v="38"/>
    <x v="1"/>
    <s v="Reached out to"/>
    <n v="600"/>
    <n v="0"/>
    <n v="0"/>
    <x v="8"/>
    <x v="0"/>
  </r>
  <r>
    <x v="38"/>
    <x v="1"/>
    <s v="Reached out to"/>
    <n v="600"/>
    <n v="0"/>
    <n v="0"/>
    <x v="9"/>
    <x v="0"/>
  </r>
  <r>
    <x v="38"/>
    <x v="1"/>
    <s v="Reached out to"/>
    <n v="600"/>
    <n v="0"/>
    <n v="0"/>
    <x v="10"/>
    <x v="0"/>
  </r>
  <r>
    <x v="39"/>
    <x v="0"/>
    <s v="Reached out to"/>
    <n v="300"/>
    <n v="0"/>
    <n v="0"/>
    <x v="0"/>
    <x v="0"/>
  </r>
  <r>
    <x v="39"/>
    <x v="0"/>
    <s v="Reached out to"/>
    <n v="300"/>
    <n v="0"/>
    <n v="0"/>
    <x v="1"/>
    <x v="0"/>
  </r>
  <r>
    <x v="39"/>
    <x v="0"/>
    <s v="Reached out to"/>
    <n v="300"/>
    <n v="0"/>
    <n v="0"/>
    <x v="2"/>
    <x v="0"/>
  </r>
  <r>
    <x v="39"/>
    <x v="0"/>
    <s v="Reached out to"/>
    <n v="300"/>
    <n v="0"/>
    <n v="0"/>
    <x v="3"/>
    <x v="0"/>
  </r>
  <r>
    <x v="39"/>
    <x v="0"/>
    <s v="Reached out to"/>
    <n v="300"/>
    <n v="0"/>
    <n v="0"/>
    <x v="4"/>
    <x v="3"/>
  </r>
  <r>
    <x v="39"/>
    <x v="0"/>
    <s v="Reached out to"/>
    <n v="300"/>
    <n v="0"/>
    <n v="0"/>
    <x v="5"/>
    <x v="0"/>
  </r>
  <r>
    <x v="39"/>
    <x v="0"/>
    <s v="Reached out to"/>
    <n v="300"/>
    <n v="0"/>
    <n v="0"/>
    <x v="6"/>
    <x v="0"/>
  </r>
  <r>
    <x v="39"/>
    <x v="0"/>
    <s v="Reached out to"/>
    <n v="300"/>
    <n v="0"/>
    <n v="0"/>
    <x v="7"/>
    <x v="0"/>
  </r>
  <r>
    <x v="39"/>
    <x v="0"/>
    <s v="Reached out to"/>
    <n v="300"/>
    <n v="0"/>
    <n v="0"/>
    <x v="8"/>
    <x v="0"/>
  </r>
  <r>
    <x v="39"/>
    <x v="0"/>
    <s v="Reached out to"/>
    <n v="300"/>
    <n v="0"/>
    <n v="0"/>
    <x v="9"/>
    <x v="0"/>
  </r>
  <r>
    <x v="39"/>
    <x v="0"/>
    <s v="Reached out to"/>
    <n v="300"/>
    <n v="0"/>
    <n v="0"/>
    <x v="10"/>
    <x v="0"/>
  </r>
  <r>
    <x v="40"/>
    <x v="1"/>
    <s v="Reached out to"/>
    <n v="300"/>
    <n v="0"/>
    <n v="500"/>
    <x v="0"/>
    <x v="0"/>
  </r>
  <r>
    <x v="40"/>
    <x v="1"/>
    <s v="Reached out to"/>
    <n v="300"/>
    <n v="0"/>
    <n v="500"/>
    <x v="1"/>
    <x v="0"/>
  </r>
  <r>
    <x v="40"/>
    <x v="1"/>
    <s v="Reached out to"/>
    <n v="300"/>
    <n v="0"/>
    <n v="500"/>
    <x v="2"/>
    <x v="1"/>
  </r>
  <r>
    <x v="40"/>
    <x v="1"/>
    <s v="Reached out to"/>
    <n v="300"/>
    <n v="0"/>
    <n v="500"/>
    <x v="3"/>
    <x v="0"/>
  </r>
  <r>
    <x v="40"/>
    <x v="1"/>
    <s v="Reached out to"/>
    <n v="300"/>
    <n v="0"/>
    <n v="500"/>
    <x v="4"/>
    <x v="0"/>
  </r>
  <r>
    <x v="40"/>
    <x v="1"/>
    <s v="Reached out to"/>
    <n v="300"/>
    <n v="0"/>
    <n v="500"/>
    <x v="5"/>
    <x v="2"/>
  </r>
  <r>
    <x v="40"/>
    <x v="1"/>
    <s v="Reached out to"/>
    <n v="300"/>
    <n v="0"/>
    <n v="500"/>
    <x v="6"/>
    <x v="0"/>
  </r>
  <r>
    <x v="40"/>
    <x v="1"/>
    <s v="Reached out to"/>
    <n v="300"/>
    <n v="0"/>
    <n v="500"/>
    <x v="7"/>
    <x v="0"/>
  </r>
  <r>
    <x v="40"/>
    <x v="1"/>
    <s v="Reached out to"/>
    <n v="300"/>
    <n v="0"/>
    <n v="500"/>
    <x v="8"/>
    <x v="3"/>
  </r>
  <r>
    <x v="40"/>
    <x v="1"/>
    <s v="Reached out to"/>
    <n v="300"/>
    <n v="0"/>
    <n v="500"/>
    <x v="9"/>
    <x v="2"/>
  </r>
  <r>
    <x v="40"/>
    <x v="1"/>
    <s v="Reached out to"/>
    <n v="300"/>
    <n v="0"/>
    <n v="500"/>
    <x v="10"/>
    <x v="0"/>
  </r>
  <r>
    <x v="41"/>
    <x v="1"/>
    <s v="Reached out to"/>
    <n v="600"/>
    <n v="0"/>
    <n v="2000"/>
    <x v="0"/>
    <x v="0"/>
  </r>
  <r>
    <x v="41"/>
    <x v="1"/>
    <s v="Reached out to"/>
    <n v="600"/>
    <n v="0"/>
    <n v="2000"/>
    <x v="1"/>
    <x v="1"/>
  </r>
  <r>
    <x v="41"/>
    <x v="1"/>
    <s v="Reached out to"/>
    <n v="600"/>
    <n v="0"/>
    <n v="2000"/>
    <x v="2"/>
    <x v="1"/>
  </r>
  <r>
    <x v="41"/>
    <x v="1"/>
    <s v="Reached out to"/>
    <n v="600"/>
    <n v="0"/>
    <n v="2000"/>
    <x v="3"/>
    <x v="0"/>
  </r>
  <r>
    <x v="41"/>
    <x v="1"/>
    <s v="Reached out to"/>
    <n v="600"/>
    <n v="0"/>
    <n v="2000"/>
    <x v="4"/>
    <x v="1"/>
  </r>
  <r>
    <x v="41"/>
    <x v="1"/>
    <s v="Reached out to"/>
    <n v="600"/>
    <n v="0"/>
    <n v="2000"/>
    <x v="5"/>
    <x v="3"/>
  </r>
  <r>
    <x v="41"/>
    <x v="1"/>
    <s v="Reached out to"/>
    <n v="600"/>
    <n v="0"/>
    <n v="2000"/>
    <x v="6"/>
    <x v="0"/>
  </r>
  <r>
    <x v="41"/>
    <x v="1"/>
    <s v="Reached out to"/>
    <n v="600"/>
    <n v="0"/>
    <n v="2000"/>
    <x v="7"/>
    <x v="0"/>
  </r>
  <r>
    <x v="41"/>
    <x v="1"/>
    <s v="Reached out to"/>
    <n v="600"/>
    <n v="0"/>
    <n v="2000"/>
    <x v="8"/>
    <x v="3"/>
  </r>
  <r>
    <x v="41"/>
    <x v="1"/>
    <s v="Reached out to"/>
    <n v="600"/>
    <n v="0"/>
    <n v="2000"/>
    <x v="9"/>
    <x v="1"/>
  </r>
  <r>
    <x v="41"/>
    <x v="1"/>
    <s v="Reached out to"/>
    <n v="600"/>
    <n v="0"/>
    <n v="2000"/>
    <x v="10"/>
    <x v="0"/>
  </r>
  <r>
    <x v="42"/>
    <x v="1"/>
    <s v="Reached out to"/>
    <n v="300"/>
    <n v="0"/>
    <n v="500"/>
    <x v="0"/>
    <x v="0"/>
  </r>
  <r>
    <x v="42"/>
    <x v="1"/>
    <s v="Reached out to"/>
    <n v="300"/>
    <n v="0"/>
    <n v="500"/>
    <x v="1"/>
    <x v="0"/>
  </r>
  <r>
    <x v="42"/>
    <x v="1"/>
    <s v="Reached out to"/>
    <n v="300"/>
    <n v="0"/>
    <n v="500"/>
    <x v="2"/>
    <x v="0"/>
  </r>
  <r>
    <x v="42"/>
    <x v="1"/>
    <s v="Reached out to"/>
    <n v="300"/>
    <n v="0"/>
    <n v="500"/>
    <x v="3"/>
    <x v="0"/>
  </r>
  <r>
    <x v="42"/>
    <x v="1"/>
    <s v="Reached out to"/>
    <n v="300"/>
    <n v="0"/>
    <n v="500"/>
    <x v="4"/>
    <x v="0"/>
  </r>
  <r>
    <x v="42"/>
    <x v="1"/>
    <s v="Reached out to"/>
    <n v="300"/>
    <n v="0"/>
    <n v="500"/>
    <x v="5"/>
    <x v="3"/>
  </r>
  <r>
    <x v="42"/>
    <x v="1"/>
    <s v="Reached out to"/>
    <n v="300"/>
    <n v="0"/>
    <n v="500"/>
    <x v="6"/>
    <x v="0"/>
  </r>
  <r>
    <x v="42"/>
    <x v="1"/>
    <s v="Reached out to"/>
    <n v="300"/>
    <n v="0"/>
    <n v="500"/>
    <x v="7"/>
    <x v="0"/>
  </r>
  <r>
    <x v="42"/>
    <x v="1"/>
    <s v="Reached out to"/>
    <n v="300"/>
    <n v="0"/>
    <n v="500"/>
    <x v="8"/>
    <x v="0"/>
  </r>
  <r>
    <x v="42"/>
    <x v="1"/>
    <s v="Reached out to"/>
    <n v="300"/>
    <n v="0"/>
    <n v="500"/>
    <x v="9"/>
    <x v="1"/>
  </r>
  <r>
    <x v="42"/>
    <x v="1"/>
    <s v="Reached out to"/>
    <n v="300"/>
    <n v="0"/>
    <n v="500"/>
    <x v="10"/>
    <x v="0"/>
  </r>
  <r>
    <x v="43"/>
    <x v="1"/>
    <s v="Reached out to"/>
    <n v="0"/>
    <n v="0"/>
    <n v="1000"/>
    <x v="0"/>
    <x v="0"/>
  </r>
  <r>
    <x v="43"/>
    <x v="1"/>
    <s v="Reached out to"/>
    <n v="0"/>
    <n v="0"/>
    <n v="1000"/>
    <x v="1"/>
    <x v="0"/>
  </r>
  <r>
    <x v="43"/>
    <x v="1"/>
    <s v="Reached out to"/>
    <n v="0"/>
    <n v="0"/>
    <n v="1000"/>
    <x v="2"/>
    <x v="1"/>
  </r>
  <r>
    <x v="43"/>
    <x v="1"/>
    <s v="Reached out to"/>
    <n v="0"/>
    <n v="0"/>
    <n v="1000"/>
    <x v="3"/>
    <x v="0"/>
  </r>
  <r>
    <x v="43"/>
    <x v="1"/>
    <s v="Reached out to"/>
    <n v="0"/>
    <n v="0"/>
    <n v="1000"/>
    <x v="4"/>
    <x v="0"/>
  </r>
  <r>
    <x v="43"/>
    <x v="1"/>
    <s v="Reached out to"/>
    <n v="0"/>
    <n v="0"/>
    <n v="1000"/>
    <x v="5"/>
    <x v="0"/>
  </r>
  <r>
    <x v="43"/>
    <x v="1"/>
    <s v="Reached out to"/>
    <n v="0"/>
    <n v="0"/>
    <n v="1000"/>
    <x v="6"/>
    <x v="0"/>
  </r>
  <r>
    <x v="43"/>
    <x v="1"/>
    <s v="Reached out to"/>
    <n v="0"/>
    <n v="0"/>
    <n v="1000"/>
    <x v="7"/>
    <x v="0"/>
  </r>
  <r>
    <x v="43"/>
    <x v="1"/>
    <s v="Reached out to"/>
    <n v="0"/>
    <n v="0"/>
    <n v="1000"/>
    <x v="8"/>
    <x v="0"/>
  </r>
  <r>
    <x v="43"/>
    <x v="1"/>
    <s v="Reached out to"/>
    <n v="0"/>
    <n v="0"/>
    <n v="1000"/>
    <x v="9"/>
    <x v="0"/>
  </r>
  <r>
    <x v="43"/>
    <x v="1"/>
    <s v="Reached out to"/>
    <n v="0"/>
    <n v="0"/>
    <n v="1000"/>
    <x v="10"/>
    <x v="1"/>
  </r>
  <r>
    <x v="44"/>
    <x v="1"/>
    <s v="Paid"/>
    <n v="0"/>
    <n v="0"/>
    <n v="500"/>
    <x v="0"/>
    <x v="1"/>
  </r>
  <r>
    <x v="44"/>
    <x v="1"/>
    <s v="Paid"/>
    <n v="0"/>
    <n v="0"/>
    <n v="500"/>
    <x v="1"/>
    <x v="0"/>
  </r>
  <r>
    <x v="44"/>
    <x v="1"/>
    <s v="Paid"/>
    <n v="0"/>
    <n v="0"/>
    <n v="500"/>
    <x v="2"/>
    <x v="0"/>
  </r>
  <r>
    <x v="44"/>
    <x v="1"/>
    <s v="Paid"/>
    <n v="0"/>
    <n v="0"/>
    <n v="500"/>
    <x v="3"/>
    <x v="0"/>
  </r>
  <r>
    <x v="44"/>
    <x v="1"/>
    <s v="Paid"/>
    <n v="0"/>
    <n v="0"/>
    <n v="500"/>
    <x v="4"/>
    <x v="0"/>
  </r>
  <r>
    <x v="44"/>
    <x v="1"/>
    <s v="Paid"/>
    <n v="0"/>
    <n v="0"/>
    <n v="500"/>
    <x v="5"/>
    <x v="0"/>
  </r>
  <r>
    <x v="44"/>
    <x v="1"/>
    <s v="Paid"/>
    <n v="0"/>
    <n v="0"/>
    <n v="500"/>
    <x v="6"/>
    <x v="0"/>
  </r>
  <r>
    <x v="44"/>
    <x v="1"/>
    <s v="Paid"/>
    <n v="0"/>
    <n v="0"/>
    <n v="500"/>
    <x v="7"/>
    <x v="0"/>
  </r>
  <r>
    <x v="44"/>
    <x v="1"/>
    <s v="Paid"/>
    <n v="0"/>
    <n v="0"/>
    <n v="500"/>
    <x v="8"/>
    <x v="0"/>
  </r>
  <r>
    <x v="44"/>
    <x v="1"/>
    <s v="Paid"/>
    <n v="0"/>
    <n v="0"/>
    <n v="500"/>
    <x v="9"/>
    <x v="0"/>
  </r>
  <r>
    <x v="44"/>
    <x v="1"/>
    <s v="Paid"/>
    <n v="0"/>
    <n v="0"/>
    <n v="500"/>
    <x v="10"/>
    <x v="0"/>
  </r>
  <r>
    <x v="45"/>
    <x v="0"/>
    <s v="Not owing"/>
    <n v="0"/>
    <n v="0"/>
    <n v="0"/>
    <x v="0"/>
    <x v="0"/>
  </r>
  <r>
    <x v="45"/>
    <x v="0"/>
    <s v="Not owing"/>
    <n v="0"/>
    <n v="0"/>
    <n v="0"/>
    <x v="1"/>
    <x v="0"/>
  </r>
  <r>
    <x v="45"/>
    <x v="0"/>
    <s v="Not owing"/>
    <n v="0"/>
    <n v="0"/>
    <n v="0"/>
    <x v="2"/>
    <x v="0"/>
  </r>
  <r>
    <x v="45"/>
    <x v="0"/>
    <s v="Not owing"/>
    <n v="0"/>
    <n v="0"/>
    <n v="0"/>
    <x v="3"/>
    <x v="0"/>
  </r>
  <r>
    <x v="45"/>
    <x v="0"/>
    <s v="Not owing"/>
    <n v="0"/>
    <n v="0"/>
    <n v="0"/>
    <x v="4"/>
    <x v="0"/>
  </r>
  <r>
    <x v="45"/>
    <x v="0"/>
    <s v="Not owing"/>
    <n v="0"/>
    <n v="0"/>
    <n v="0"/>
    <x v="5"/>
    <x v="0"/>
  </r>
  <r>
    <x v="45"/>
    <x v="0"/>
    <s v="Not owing"/>
    <n v="0"/>
    <n v="0"/>
    <n v="0"/>
    <x v="6"/>
    <x v="0"/>
  </r>
  <r>
    <x v="45"/>
    <x v="0"/>
    <s v="Not owing"/>
    <n v="0"/>
    <n v="0"/>
    <n v="0"/>
    <x v="7"/>
    <x v="0"/>
  </r>
  <r>
    <x v="45"/>
    <x v="0"/>
    <s v="Not owing"/>
    <n v="0"/>
    <n v="0"/>
    <n v="0"/>
    <x v="8"/>
    <x v="0"/>
  </r>
  <r>
    <x v="45"/>
    <x v="0"/>
    <s v="Not owing"/>
    <n v="0"/>
    <n v="0"/>
    <n v="0"/>
    <x v="9"/>
    <x v="0"/>
  </r>
  <r>
    <x v="45"/>
    <x v="0"/>
    <s v="Not owing"/>
    <n v="0"/>
    <n v="0"/>
    <n v="0"/>
    <x v="10"/>
    <x v="0"/>
  </r>
  <r>
    <x v="46"/>
    <x v="1"/>
    <s v="Paid"/>
    <n v="0"/>
    <n v="0"/>
    <n v="500"/>
    <x v="0"/>
    <x v="0"/>
  </r>
  <r>
    <x v="46"/>
    <x v="1"/>
    <s v="Paid"/>
    <n v="0"/>
    <n v="0"/>
    <n v="500"/>
    <x v="1"/>
    <x v="0"/>
  </r>
  <r>
    <x v="46"/>
    <x v="1"/>
    <s v="Paid"/>
    <n v="0"/>
    <n v="0"/>
    <n v="500"/>
    <x v="2"/>
    <x v="0"/>
  </r>
  <r>
    <x v="46"/>
    <x v="1"/>
    <s v="Paid"/>
    <n v="0"/>
    <n v="0"/>
    <n v="500"/>
    <x v="3"/>
    <x v="0"/>
  </r>
  <r>
    <x v="46"/>
    <x v="1"/>
    <s v="Paid"/>
    <n v="0"/>
    <n v="0"/>
    <n v="500"/>
    <x v="4"/>
    <x v="0"/>
  </r>
  <r>
    <x v="46"/>
    <x v="1"/>
    <s v="Paid"/>
    <n v="0"/>
    <n v="0"/>
    <n v="500"/>
    <x v="5"/>
    <x v="0"/>
  </r>
  <r>
    <x v="46"/>
    <x v="1"/>
    <s v="Paid"/>
    <n v="0"/>
    <n v="0"/>
    <n v="500"/>
    <x v="6"/>
    <x v="0"/>
  </r>
  <r>
    <x v="46"/>
    <x v="1"/>
    <s v="Paid"/>
    <n v="0"/>
    <n v="0"/>
    <n v="500"/>
    <x v="7"/>
    <x v="0"/>
  </r>
  <r>
    <x v="46"/>
    <x v="1"/>
    <s v="Paid"/>
    <n v="0"/>
    <n v="0"/>
    <n v="500"/>
    <x v="8"/>
    <x v="1"/>
  </r>
  <r>
    <x v="46"/>
    <x v="1"/>
    <s v="Paid"/>
    <n v="0"/>
    <n v="0"/>
    <n v="500"/>
    <x v="9"/>
    <x v="0"/>
  </r>
  <r>
    <x v="46"/>
    <x v="1"/>
    <s v="Paid"/>
    <n v="0"/>
    <n v="0"/>
    <n v="500"/>
    <x v="10"/>
    <x v="0"/>
  </r>
  <r>
    <x v="47"/>
    <x v="0"/>
    <s v="Reached out to"/>
    <n v="900"/>
    <n v="0"/>
    <n v="500"/>
    <x v="0"/>
    <x v="3"/>
  </r>
  <r>
    <x v="47"/>
    <x v="0"/>
    <s v="Reached out to"/>
    <n v="900"/>
    <n v="0"/>
    <n v="500"/>
    <x v="1"/>
    <x v="0"/>
  </r>
  <r>
    <x v="47"/>
    <x v="0"/>
    <s v="Reached out to"/>
    <n v="900"/>
    <n v="0"/>
    <n v="500"/>
    <x v="2"/>
    <x v="0"/>
  </r>
  <r>
    <x v="47"/>
    <x v="0"/>
    <s v="Reached out to"/>
    <n v="900"/>
    <n v="0"/>
    <n v="500"/>
    <x v="3"/>
    <x v="3"/>
  </r>
  <r>
    <x v="47"/>
    <x v="0"/>
    <s v="Reached out to"/>
    <n v="900"/>
    <n v="0"/>
    <n v="500"/>
    <x v="4"/>
    <x v="1"/>
  </r>
  <r>
    <x v="47"/>
    <x v="0"/>
    <s v="Reached out to"/>
    <n v="900"/>
    <n v="0"/>
    <n v="500"/>
    <x v="5"/>
    <x v="3"/>
  </r>
  <r>
    <x v="47"/>
    <x v="0"/>
    <s v="Reached out to"/>
    <n v="900"/>
    <n v="0"/>
    <n v="500"/>
    <x v="6"/>
    <x v="0"/>
  </r>
  <r>
    <x v="47"/>
    <x v="0"/>
    <s v="Reached out to"/>
    <n v="900"/>
    <n v="0"/>
    <n v="500"/>
    <x v="7"/>
    <x v="0"/>
  </r>
  <r>
    <x v="47"/>
    <x v="0"/>
    <s v="Reached out to"/>
    <n v="900"/>
    <n v="0"/>
    <n v="500"/>
    <x v="8"/>
    <x v="0"/>
  </r>
  <r>
    <x v="47"/>
    <x v="0"/>
    <s v="Reached out to"/>
    <n v="900"/>
    <n v="0"/>
    <n v="500"/>
    <x v="9"/>
    <x v="0"/>
  </r>
  <r>
    <x v="47"/>
    <x v="0"/>
    <s v="Reached out to"/>
    <n v="900"/>
    <n v="0"/>
    <n v="500"/>
    <x v="10"/>
    <x v="0"/>
  </r>
  <r>
    <x v="48"/>
    <x v="0"/>
    <s v="Paid"/>
    <n v="300"/>
    <n v="0"/>
    <n v="1500"/>
    <x v="0"/>
    <x v="3"/>
  </r>
  <r>
    <x v="48"/>
    <x v="0"/>
    <s v="Paid"/>
    <n v="300"/>
    <n v="0"/>
    <n v="1500"/>
    <x v="1"/>
    <x v="0"/>
  </r>
  <r>
    <x v="48"/>
    <x v="0"/>
    <s v="Paid"/>
    <n v="300"/>
    <n v="0"/>
    <n v="1500"/>
    <x v="2"/>
    <x v="1"/>
  </r>
  <r>
    <x v="48"/>
    <x v="0"/>
    <s v="Paid"/>
    <n v="300"/>
    <n v="0"/>
    <n v="1500"/>
    <x v="3"/>
    <x v="0"/>
  </r>
  <r>
    <x v="48"/>
    <x v="0"/>
    <s v="Paid"/>
    <n v="300"/>
    <n v="0"/>
    <n v="1500"/>
    <x v="4"/>
    <x v="1"/>
  </r>
  <r>
    <x v="48"/>
    <x v="0"/>
    <s v="Paid"/>
    <n v="300"/>
    <n v="0"/>
    <n v="1500"/>
    <x v="5"/>
    <x v="0"/>
  </r>
  <r>
    <x v="48"/>
    <x v="0"/>
    <s v="Paid"/>
    <n v="300"/>
    <n v="0"/>
    <n v="1500"/>
    <x v="6"/>
    <x v="1"/>
  </r>
  <r>
    <x v="48"/>
    <x v="0"/>
    <s v="Paid"/>
    <n v="300"/>
    <n v="0"/>
    <n v="1500"/>
    <x v="7"/>
    <x v="1"/>
  </r>
  <r>
    <x v="48"/>
    <x v="0"/>
    <s v="Paid"/>
    <n v="300"/>
    <n v="0"/>
    <n v="1500"/>
    <x v="8"/>
    <x v="0"/>
  </r>
  <r>
    <x v="48"/>
    <x v="0"/>
    <s v="Paid"/>
    <n v="300"/>
    <n v="0"/>
    <n v="1500"/>
    <x v="9"/>
    <x v="0"/>
  </r>
  <r>
    <x v="48"/>
    <x v="0"/>
    <s v="Paid"/>
    <n v="300"/>
    <n v="0"/>
    <n v="1500"/>
    <x v="10"/>
    <x v="1"/>
  </r>
  <r>
    <x v="49"/>
    <x v="0"/>
    <s v="Reached out to"/>
    <n v="0"/>
    <n v="0"/>
    <n v="1000"/>
    <x v="0"/>
    <x v="0"/>
  </r>
  <r>
    <x v="49"/>
    <x v="0"/>
    <s v="Reached out to"/>
    <n v="0"/>
    <n v="0"/>
    <n v="1000"/>
    <x v="1"/>
    <x v="1"/>
  </r>
  <r>
    <x v="49"/>
    <x v="0"/>
    <s v="Reached out to"/>
    <n v="0"/>
    <n v="0"/>
    <n v="1000"/>
    <x v="2"/>
    <x v="0"/>
  </r>
  <r>
    <x v="49"/>
    <x v="0"/>
    <s v="Reached out to"/>
    <n v="0"/>
    <n v="0"/>
    <n v="1000"/>
    <x v="3"/>
    <x v="2"/>
  </r>
  <r>
    <x v="49"/>
    <x v="0"/>
    <s v="Reached out to"/>
    <n v="0"/>
    <n v="0"/>
    <n v="1000"/>
    <x v="4"/>
    <x v="0"/>
  </r>
  <r>
    <x v="49"/>
    <x v="0"/>
    <s v="Reached out to"/>
    <n v="0"/>
    <n v="0"/>
    <n v="1000"/>
    <x v="5"/>
    <x v="0"/>
  </r>
  <r>
    <x v="49"/>
    <x v="0"/>
    <s v="Reached out to"/>
    <n v="0"/>
    <n v="0"/>
    <n v="1000"/>
    <x v="6"/>
    <x v="1"/>
  </r>
  <r>
    <x v="49"/>
    <x v="0"/>
    <s v="Reached out to"/>
    <n v="0"/>
    <n v="0"/>
    <n v="1000"/>
    <x v="7"/>
    <x v="0"/>
  </r>
  <r>
    <x v="49"/>
    <x v="0"/>
    <s v="Reached out to"/>
    <n v="0"/>
    <n v="0"/>
    <n v="1000"/>
    <x v="8"/>
    <x v="0"/>
  </r>
  <r>
    <x v="49"/>
    <x v="0"/>
    <s v="Reached out to"/>
    <n v="0"/>
    <n v="0"/>
    <n v="1000"/>
    <x v="9"/>
    <x v="0"/>
  </r>
  <r>
    <x v="49"/>
    <x v="0"/>
    <s v="Reached out to"/>
    <n v="0"/>
    <n v="0"/>
    <n v="1000"/>
    <x v="10"/>
    <x v="0"/>
  </r>
  <r>
    <x v="50"/>
    <x v="0"/>
    <s v="Reached out to"/>
    <n v="0"/>
    <n v="0"/>
    <n v="1000"/>
    <x v="0"/>
    <x v="0"/>
  </r>
  <r>
    <x v="50"/>
    <x v="0"/>
    <s v="Reached out to"/>
    <n v="0"/>
    <n v="0"/>
    <n v="1000"/>
    <x v="1"/>
    <x v="0"/>
  </r>
  <r>
    <x v="50"/>
    <x v="0"/>
    <s v="Reached out to"/>
    <n v="0"/>
    <n v="0"/>
    <n v="1000"/>
    <x v="2"/>
    <x v="2"/>
  </r>
  <r>
    <x v="50"/>
    <x v="0"/>
    <s v="Reached out to"/>
    <n v="0"/>
    <n v="0"/>
    <n v="1000"/>
    <x v="3"/>
    <x v="0"/>
  </r>
  <r>
    <x v="50"/>
    <x v="0"/>
    <s v="Reached out to"/>
    <n v="0"/>
    <n v="0"/>
    <n v="1000"/>
    <x v="4"/>
    <x v="2"/>
  </r>
  <r>
    <x v="50"/>
    <x v="0"/>
    <s v="Reached out to"/>
    <n v="0"/>
    <n v="0"/>
    <n v="1000"/>
    <x v="5"/>
    <x v="0"/>
  </r>
  <r>
    <x v="50"/>
    <x v="0"/>
    <s v="Reached out to"/>
    <n v="0"/>
    <n v="0"/>
    <n v="1000"/>
    <x v="6"/>
    <x v="1"/>
  </r>
  <r>
    <x v="50"/>
    <x v="0"/>
    <s v="Reached out to"/>
    <n v="0"/>
    <n v="0"/>
    <n v="1000"/>
    <x v="7"/>
    <x v="1"/>
  </r>
  <r>
    <x v="50"/>
    <x v="0"/>
    <s v="Reached out to"/>
    <n v="0"/>
    <n v="0"/>
    <n v="1000"/>
    <x v="8"/>
    <x v="0"/>
  </r>
  <r>
    <x v="50"/>
    <x v="0"/>
    <s v="Reached out to"/>
    <n v="0"/>
    <n v="0"/>
    <n v="1000"/>
    <x v="9"/>
    <x v="0"/>
  </r>
  <r>
    <x v="50"/>
    <x v="0"/>
    <s v="Reached out to"/>
    <n v="0"/>
    <n v="0"/>
    <n v="1000"/>
    <x v="10"/>
    <x v="0"/>
  </r>
  <r>
    <x v="51"/>
    <x v="1"/>
    <s v="Reached out to"/>
    <n v="600"/>
    <n v="0"/>
    <n v="4000"/>
    <x v="0"/>
    <x v="1"/>
  </r>
  <r>
    <x v="51"/>
    <x v="1"/>
    <s v="Reached out to"/>
    <n v="600"/>
    <n v="0"/>
    <n v="4000"/>
    <x v="1"/>
    <x v="3"/>
  </r>
  <r>
    <x v="51"/>
    <x v="1"/>
    <s v="Reached out to"/>
    <n v="600"/>
    <n v="0"/>
    <n v="4000"/>
    <x v="2"/>
    <x v="1"/>
  </r>
  <r>
    <x v="51"/>
    <x v="1"/>
    <s v="Reached out to"/>
    <n v="600"/>
    <n v="0"/>
    <n v="4000"/>
    <x v="3"/>
    <x v="3"/>
  </r>
  <r>
    <x v="51"/>
    <x v="1"/>
    <s v="Reached out to"/>
    <n v="600"/>
    <n v="0"/>
    <n v="4000"/>
    <x v="4"/>
    <x v="1"/>
  </r>
  <r>
    <x v="51"/>
    <x v="1"/>
    <s v="Reached out to"/>
    <n v="600"/>
    <n v="0"/>
    <n v="4000"/>
    <x v="5"/>
    <x v="0"/>
  </r>
  <r>
    <x v="51"/>
    <x v="1"/>
    <s v="Reached out to"/>
    <n v="600"/>
    <n v="0"/>
    <n v="4000"/>
    <x v="6"/>
    <x v="1"/>
  </r>
  <r>
    <x v="51"/>
    <x v="1"/>
    <s v="Reached out to"/>
    <n v="600"/>
    <n v="0"/>
    <n v="4000"/>
    <x v="7"/>
    <x v="1"/>
  </r>
  <r>
    <x v="51"/>
    <x v="1"/>
    <s v="Reached out to"/>
    <n v="600"/>
    <n v="0"/>
    <n v="4000"/>
    <x v="8"/>
    <x v="1"/>
  </r>
  <r>
    <x v="51"/>
    <x v="1"/>
    <s v="Reached out to"/>
    <n v="600"/>
    <n v="0"/>
    <n v="4000"/>
    <x v="9"/>
    <x v="1"/>
  </r>
  <r>
    <x v="51"/>
    <x v="1"/>
    <s v="Reached out to"/>
    <n v="600"/>
    <n v="0"/>
    <n v="4000"/>
    <x v="10"/>
    <x v="1"/>
  </r>
  <r>
    <x v="52"/>
    <x v="1"/>
    <s v="Not owing"/>
    <n v="0"/>
    <n v="0"/>
    <n v="0"/>
    <x v="0"/>
    <x v="0"/>
  </r>
  <r>
    <x v="52"/>
    <x v="1"/>
    <s v="Not owing"/>
    <n v="0"/>
    <n v="0"/>
    <n v="0"/>
    <x v="1"/>
    <x v="0"/>
  </r>
  <r>
    <x v="52"/>
    <x v="1"/>
    <s v="Not owing"/>
    <n v="0"/>
    <n v="0"/>
    <n v="0"/>
    <x v="2"/>
    <x v="0"/>
  </r>
  <r>
    <x v="52"/>
    <x v="1"/>
    <s v="Not owing"/>
    <n v="0"/>
    <n v="0"/>
    <n v="0"/>
    <x v="3"/>
    <x v="0"/>
  </r>
  <r>
    <x v="52"/>
    <x v="1"/>
    <s v="Not owing"/>
    <n v="0"/>
    <n v="0"/>
    <n v="0"/>
    <x v="4"/>
    <x v="0"/>
  </r>
  <r>
    <x v="52"/>
    <x v="1"/>
    <s v="Not owing"/>
    <n v="0"/>
    <n v="0"/>
    <n v="0"/>
    <x v="5"/>
    <x v="2"/>
  </r>
  <r>
    <x v="52"/>
    <x v="1"/>
    <s v="Not owing"/>
    <n v="0"/>
    <n v="0"/>
    <n v="0"/>
    <x v="6"/>
    <x v="0"/>
  </r>
  <r>
    <x v="52"/>
    <x v="1"/>
    <s v="Not owing"/>
    <n v="0"/>
    <n v="0"/>
    <n v="0"/>
    <x v="7"/>
    <x v="0"/>
  </r>
  <r>
    <x v="52"/>
    <x v="1"/>
    <s v="Not owing"/>
    <n v="0"/>
    <n v="0"/>
    <n v="0"/>
    <x v="8"/>
    <x v="0"/>
  </r>
  <r>
    <x v="52"/>
    <x v="1"/>
    <s v="Not owing"/>
    <n v="0"/>
    <n v="0"/>
    <n v="0"/>
    <x v="9"/>
    <x v="0"/>
  </r>
  <r>
    <x v="52"/>
    <x v="1"/>
    <s v="Not owing"/>
    <n v="0"/>
    <n v="0"/>
    <n v="0"/>
    <x v="10"/>
    <x v="0"/>
  </r>
  <r>
    <x v="53"/>
    <x v="1"/>
    <s v="Reached out to"/>
    <n v="600"/>
    <n v="0"/>
    <n v="500"/>
    <x v="0"/>
    <x v="0"/>
  </r>
  <r>
    <x v="53"/>
    <x v="1"/>
    <s v="Reached out to"/>
    <n v="600"/>
    <n v="0"/>
    <n v="500"/>
    <x v="1"/>
    <x v="0"/>
  </r>
  <r>
    <x v="53"/>
    <x v="1"/>
    <s v="Reached out to"/>
    <n v="600"/>
    <n v="0"/>
    <n v="500"/>
    <x v="2"/>
    <x v="0"/>
  </r>
  <r>
    <x v="53"/>
    <x v="1"/>
    <s v="Reached out to"/>
    <n v="600"/>
    <n v="0"/>
    <n v="500"/>
    <x v="3"/>
    <x v="0"/>
  </r>
  <r>
    <x v="53"/>
    <x v="1"/>
    <s v="Reached out to"/>
    <n v="600"/>
    <n v="0"/>
    <n v="500"/>
    <x v="4"/>
    <x v="1"/>
  </r>
  <r>
    <x v="53"/>
    <x v="1"/>
    <s v="Reached out to"/>
    <n v="600"/>
    <n v="0"/>
    <n v="500"/>
    <x v="5"/>
    <x v="0"/>
  </r>
  <r>
    <x v="53"/>
    <x v="1"/>
    <s v="Reached out to"/>
    <n v="600"/>
    <n v="0"/>
    <n v="500"/>
    <x v="6"/>
    <x v="0"/>
  </r>
  <r>
    <x v="53"/>
    <x v="1"/>
    <s v="Reached out to"/>
    <n v="600"/>
    <n v="0"/>
    <n v="500"/>
    <x v="7"/>
    <x v="3"/>
  </r>
  <r>
    <x v="53"/>
    <x v="1"/>
    <s v="Reached out to"/>
    <n v="600"/>
    <n v="0"/>
    <n v="500"/>
    <x v="8"/>
    <x v="0"/>
  </r>
  <r>
    <x v="53"/>
    <x v="1"/>
    <s v="Reached out to"/>
    <n v="600"/>
    <n v="0"/>
    <n v="500"/>
    <x v="9"/>
    <x v="3"/>
  </r>
  <r>
    <x v="53"/>
    <x v="1"/>
    <s v="Reached out to"/>
    <n v="600"/>
    <n v="0"/>
    <n v="500"/>
    <x v="10"/>
    <x v="0"/>
  </r>
  <r>
    <x v="54"/>
    <x v="1"/>
    <s v="Reached out to"/>
    <n v="300"/>
    <n v="0"/>
    <n v="500"/>
    <x v="0"/>
    <x v="0"/>
  </r>
  <r>
    <x v="54"/>
    <x v="1"/>
    <s v="Reached out to"/>
    <n v="300"/>
    <n v="0"/>
    <n v="500"/>
    <x v="1"/>
    <x v="0"/>
  </r>
  <r>
    <x v="54"/>
    <x v="1"/>
    <s v="Reached out to"/>
    <n v="300"/>
    <n v="0"/>
    <n v="500"/>
    <x v="2"/>
    <x v="0"/>
  </r>
  <r>
    <x v="54"/>
    <x v="1"/>
    <s v="Reached out to"/>
    <n v="300"/>
    <n v="0"/>
    <n v="500"/>
    <x v="3"/>
    <x v="0"/>
  </r>
  <r>
    <x v="54"/>
    <x v="1"/>
    <s v="Reached out to"/>
    <n v="300"/>
    <n v="0"/>
    <n v="500"/>
    <x v="4"/>
    <x v="0"/>
  </r>
  <r>
    <x v="54"/>
    <x v="1"/>
    <s v="Reached out to"/>
    <n v="300"/>
    <n v="0"/>
    <n v="500"/>
    <x v="5"/>
    <x v="0"/>
  </r>
  <r>
    <x v="54"/>
    <x v="1"/>
    <s v="Reached out to"/>
    <n v="300"/>
    <n v="0"/>
    <n v="500"/>
    <x v="6"/>
    <x v="0"/>
  </r>
  <r>
    <x v="54"/>
    <x v="1"/>
    <s v="Reached out to"/>
    <n v="300"/>
    <n v="0"/>
    <n v="500"/>
    <x v="7"/>
    <x v="3"/>
  </r>
  <r>
    <x v="54"/>
    <x v="1"/>
    <s v="Reached out to"/>
    <n v="300"/>
    <n v="0"/>
    <n v="500"/>
    <x v="8"/>
    <x v="1"/>
  </r>
  <r>
    <x v="54"/>
    <x v="1"/>
    <s v="Reached out to"/>
    <n v="300"/>
    <n v="0"/>
    <n v="500"/>
    <x v="9"/>
    <x v="0"/>
  </r>
  <r>
    <x v="54"/>
    <x v="1"/>
    <s v="Reached out to"/>
    <n v="300"/>
    <n v="0"/>
    <n v="500"/>
    <x v="10"/>
    <x v="0"/>
  </r>
  <r>
    <x v="55"/>
    <x v="0"/>
    <s v="Paid"/>
    <n v="300"/>
    <n v="0"/>
    <n v="0"/>
    <x v="0"/>
    <x v="0"/>
  </r>
  <r>
    <x v="55"/>
    <x v="0"/>
    <s v="Paid"/>
    <n v="300"/>
    <n v="0"/>
    <n v="0"/>
    <x v="1"/>
    <x v="0"/>
  </r>
  <r>
    <x v="55"/>
    <x v="0"/>
    <s v="Paid"/>
    <n v="300"/>
    <n v="0"/>
    <n v="0"/>
    <x v="2"/>
    <x v="0"/>
  </r>
  <r>
    <x v="55"/>
    <x v="0"/>
    <s v="Paid"/>
    <n v="300"/>
    <n v="0"/>
    <n v="0"/>
    <x v="3"/>
    <x v="3"/>
  </r>
  <r>
    <x v="55"/>
    <x v="0"/>
    <s v="Paid"/>
    <n v="300"/>
    <n v="0"/>
    <n v="0"/>
    <x v="4"/>
    <x v="2"/>
  </r>
  <r>
    <x v="55"/>
    <x v="0"/>
    <s v="Paid"/>
    <n v="300"/>
    <n v="0"/>
    <n v="0"/>
    <x v="5"/>
    <x v="2"/>
  </r>
  <r>
    <x v="55"/>
    <x v="0"/>
    <s v="Paid"/>
    <n v="300"/>
    <n v="0"/>
    <n v="0"/>
    <x v="6"/>
    <x v="0"/>
  </r>
  <r>
    <x v="55"/>
    <x v="0"/>
    <s v="Paid"/>
    <n v="300"/>
    <n v="0"/>
    <n v="0"/>
    <x v="7"/>
    <x v="0"/>
  </r>
  <r>
    <x v="55"/>
    <x v="0"/>
    <s v="Paid"/>
    <n v="300"/>
    <n v="0"/>
    <n v="0"/>
    <x v="8"/>
    <x v="2"/>
  </r>
  <r>
    <x v="55"/>
    <x v="0"/>
    <s v="Paid"/>
    <n v="300"/>
    <n v="0"/>
    <n v="0"/>
    <x v="9"/>
    <x v="0"/>
  </r>
  <r>
    <x v="55"/>
    <x v="0"/>
    <s v="Paid"/>
    <n v="300"/>
    <n v="0"/>
    <n v="0"/>
    <x v="10"/>
    <x v="0"/>
  </r>
  <r>
    <x v="56"/>
    <x v="0"/>
    <s v="Paid"/>
    <n v="0"/>
    <n v="0"/>
    <n v="500"/>
    <x v="0"/>
    <x v="0"/>
  </r>
  <r>
    <x v="56"/>
    <x v="0"/>
    <s v="Paid"/>
    <n v="0"/>
    <n v="0"/>
    <n v="500"/>
    <x v="1"/>
    <x v="1"/>
  </r>
  <r>
    <x v="56"/>
    <x v="0"/>
    <s v="Paid"/>
    <n v="0"/>
    <n v="0"/>
    <n v="500"/>
    <x v="2"/>
    <x v="0"/>
  </r>
  <r>
    <x v="56"/>
    <x v="0"/>
    <s v="Paid"/>
    <n v="0"/>
    <n v="0"/>
    <n v="500"/>
    <x v="3"/>
    <x v="0"/>
  </r>
  <r>
    <x v="56"/>
    <x v="0"/>
    <s v="Paid"/>
    <n v="0"/>
    <n v="0"/>
    <n v="500"/>
    <x v="4"/>
    <x v="0"/>
  </r>
  <r>
    <x v="56"/>
    <x v="0"/>
    <s v="Paid"/>
    <n v="0"/>
    <n v="0"/>
    <n v="500"/>
    <x v="5"/>
    <x v="0"/>
  </r>
  <r>
    <x v="56"/>
    <x v="0"/>
    <s v="Paid"/>
    <n v="0"/>
    <n v="0"/>
    <n v="500"/>
    <x v="6"/>
    <x v="0"/>
  </r>
  <r>
    <x v="56"/>
    <x v="0"/>
    <s v="Paid"/>
    <n v="0"/>
    <n v="0"/>
    <n v="500"/>
    <x v="7"/>
    <x v="0"/>
  </r>
  <r>
    <x v="56"/>
    <x v="0"/>
    <s v="Paid"/>
    <n v="0"/>
    <n v="0"/>
    <n v="500"/>
    <x v="8"/>
    <x v="0"/>
  </r>
  <r>
    <x v="56"/>
    <x v="0"/>
    <s v="Paid"/>
    <n v="0"/>
    <n v="0"/>
    <n v="500"/>
    <x v="9"/>
    <x v="0"/>
  </r>
  <r>
    <x v="56"/>
    <x v="0"/>
    <s v="Paid"/>
    <n v="0"/>
    <n v="0"/>
    <n v="500"/>
    <x v="10"/>
    <x v="0"/>
  </r>
  <r>
    <x v="57"/>
    <x v="0"/>
    <s v="Paid"/>
    <n v="0"/>
    <n v="0"/>
    <n v="1000"/>
    <x v="0"/>
    <x v="0"/>
  </r>
  <r>
    <x v="57"/>
    <x v="0"/>
    <s v="Paid"/>
    <n v="0"/>
    <n v="0"/>
    <n v="1000"/>
    <x v="1"/>
    <x v="0"/>
  </r>
  <r>
    <x v="57"/>
    <x v="0"/>
    <s v="Paid"/>
    <n v="0"/>
    <n v="0"/>
    <n v="1000"/>
    <x v="2"/>
    <x v="0"/>
  </r>
  <r>
    <x v="57"/>
    <x v="0"/>
    <s v="Paid"/>
    <n v="0"/>
    <n v="0"/>
    <n v="1000"/>
    <x v="3"/>
    <x v="1"/>
  </r>
  <r>
    <x v="57"/>
    <x v="0"/>
    <s v="Paid"/>
    <n v="0"/>
    <n v="0"/>
    <n v="1000"/>
    <x v="4"/>
    <x v="0"/>
  </r>
  <r>
    <x v="57"/>
    <x v="0"/>
    <s v="Paid"/>
    <n v="0"/>
    <n v="0"/>
    <n v="1000"/>
    <x v="5"/>
    <x v="0"/>
  </r>
  <r>
    <x v="57"/>
    <x v="0"/>
    <s v="Paid"/>
    <n v="0"/>
    <n v="0"/>
    <n v="1000"/>
    <x v="6"/>
    <x v="0"/>
  </r>
  <r>
    <x v="57"/>
    <x v="0"/>
    <s v="Paid"/>
    <n v="0"/>
    <n v="0"/>
    <n v="1000"/>
    <x v="7"/>
    <x v="1"/>
  </r>
  <r>
    <x v="57"/>
    <x v="0"/>
    <s v="Paid"/>
    <n v="0"/>
    <n v="0"/>
    <n v="1000"/>
    <x v="8"/>
    <x v="0"/>
  </r>
  <r>
    <x v="57"/>
    <x v="0"/>
    <s v="Paid"/>
    <n v="0"/>
    <n v="0"/>
    <n v="1000"/>
    <x v="9"/>
    <x v="0"/>
  </r>
  <r>
    <x v="57"/>
    <x v="0"/>
    <s v="Paid"/>
    <n v="0"/>
    <n v="0"/>
    <n v="1000"/>
    <x v="10"/>
    <x v="0"/>
  </r>
  <r>
    <x v="58"/>
    <x v="1"/>
    <s v="Not owing"/>
    <n v="0"/>
    <n v="0"/>
    <n v="0"/>
    <x v="0"/>
    <x v="0"/>
  </r>
  <r>
    <x v="58"/>
    <x v="1"/>
    <s v="Not owing"/>
    <n v="0"/>
    <n v="0"/>
    <n v="0"/>
    <x v="1"/>
    <x v="0"/>
  </r>
  <r>
    <x v="58"/>
    <x v="1"/>
    <s v="Not owing"/>
    <n v="0"/>
    <n v="0"/>
    <n v="0"/>
    <x v="2"/>
    <x v="0"/>
  </r>
  <r>
    <x v="58"/>
    <x v="1"/>
    <s v="Not owing"/>
    <n v="0"/>
    <n v="0"/>
    <n v="0"/>
    <x v="3"/>
    <x v="0"/>
  </r>
  <r>
    <x v="58"/>
    <x v="1"/>
    <s v="Not owing"/>
    <n v="0"/>
    <n v="0"/>
    <n v="0"/>
    <x v="4"/>
    <x v="0"/>
  </r>
  <r>
    <x v="58"/>
    <x v="1"/>
    <s v="Not owing"/>
    <n v="0"/>
    <n v="0"/>
    <n v="0"/>
    <x v="5"/>
    <x v="0"/>
  </r>
  <r>
    <x v="58"/>
    <x v="1"/>
    <s v="Not owing"/>
    <n v="0"/>
    <n v="0"/>
    <n v="0"/>
    <x v="6"/>
    <x v="0"/>
  </r>
  <r>
    <x v="58"/>
    <x v="1"/>
    <s v="Not owing"/>
    <n v="0"/>
    <n v="0"/>
    <n v="0"/>
    <x v="7"/>
    <x v="2"/>
  </r>
  <r>
    <x v="58"/>
    <x v="1"/>
    <s v="Not owing"/>
    <n v="0"/>
    <n v="0"/>
    <n v="0"/>
    <x v="8"/>
    <x v="0"/>
  </r>
  <r>
    <x v="58"/>
    <x v="1"/>
    <s v="Not owing"/>
    <n v="0"/>
    <n v="0"/>
    <n v="0"/>
    <x v="9"/>
    <x v="0"/>
  </r>
  <r>
    <x v="58"/>
    <x v="1"/>
    <s v="Not owing"/>
    <n v="0"/>
    <n v="0"/>
    <n v="0"/>
    <x v="10"/>
    <x v="0"/>
  </r>
  <r>
    <x v="59"/>
    <x v="0"/>
    <s v="Paid"/>
    <n v="0"/>
    <n v="0"/>
    <n v="500"/>
    <x v="0"/>
    <x v="0"/>
  </r>
  <r>
    <x v="59"/>
    <x v="0"/>
    <s v="Paid"/>
    <n v="0"/>
    <n v="0"/>
    <n v="500"/>
    <x v="1"/>
    <x v="1"/>
  </r>
  <r>
    <x v="59"/>
    <x v="0"/>
    <s v="Paid"/>
    <n v="0"/>
    <n v="0"/>
    <n v="500"/>
    <x v="2"/>
    <x v="0"/>
  </r>
  <r>
    <x v="59"/>
    <x v="0"/>
    <s v="Paid"/>
    <n v="0"/>
    <n v="0"/>
    <n v="500"/>
    <x v="3"/>
    <x v="0"/>
  </r>
  <r>
    <x v="59"/>
    <x v="0"/>
    <s v="Paid"/>
    <n v="0"/>
    <n v="0"/>
    <n v="500"/>
    <x v="4"/>
    <x v="0"/>
  </r>
  <r>
    <x v="59"/>
    <x v="0"/>
    <s v="Paid"/>
    <n v="0"/>
    <n v="0"/>
    <n v="500"/>
    <x v="5"/>
    <x v="0"/>
  </r>
  <r>
    <x v="59"/>
    <x v="0"/>
    <s v="Paid"/>
    <n v="0"/>
    <n v="0"/>
    <n v="500"/>
    <x v="6"/>
    <x v="0"/>
  </r>
  <r>
    <x v="59"/>
    <x v="0"/>
    <s v="Paid"/>
    <n v="0"/>
    <n v="0"/>
    <n v="500"/>
    <x v="7"/>
    <x v="2"/>
  </r>
  <r>
    <x v="59"/>
    <x v="0"/>
    <s v="Paid"/>
    <n v="0"/>
    <n v="0"/>
    <n v="500"/>
    <x v="8"/>
    <x v="2"/>
  </r>
  <r>
    <x v="59"/>
    <x v="0"/>
    <s v="Paid"/>
    <n v="0"/>
    <n v="0"/>
    <n v="500"/>
    <x v="9"/>
    <x v="2"/>
  </r>
  <r>
    <x v="59"/>
    <x v="0"/>
    <s v="Paid"/>
    <n v="0"/>
    <n v="0"/>
    <n v="500"/>
    <x v="10"/>
    <x v="2"/>
  </r>
  <r>
    <x v="60"/>
    <x v="1"/>
    <s v="Reached out to"/>
    <n v="600"/>
    <n v="0"/>
    <n v="500"/>
    <x v="0"/>
    <x v="0"/>
  </r>
  <r>
    <x v="60"/>
    <x v="1"/>
    <s v="Reached out to"/>
    <n v="600"/>
    <n v="0"/>
    <n v="500"/>
    <x v="1"/>
    <x v="0"/>
  </r>
  <r>
    <x v="60"/>
    <x v="1"/>
    <s v="Reached out to"/>
    <n v="600"/>
    <n v="0"/>
    <n v="500"/>
    <x v="2"/>
    <x v="0"/>
  </r>
  <r>
    <x v="60"/>
    <x v="1"/>
    <s v="Reached out to"/>
    <n v="600"/>
    <n v="0"/>
    <n v="500"/>
    <x v="3"/>
    <x v="0"/>
  </r>
  <r>
    <x v="60"/>
    <x v="1"/>
    <s v="Reached out to"/>
    <n v="600"/>
    <n v="0"/>
    <n v="500"/>
    <x v="4"/>
    <x v="0"/>
  </r>
  <r>
    <x v="60"/>
    <x v="1"/>
    <s v="Reached out to"/>
    <n v="600"/>
    <n v="0"/>
    <n v="500"/>
    <x v="5"/>
    <x v="0"/>
  </r>
  <r>
    <x v="60"/>
    <x v="1"/>
    <s v="Reached out to"/>
    <n v="600"/>
    <n v="0"/>
    <n v="500"/>
    <x v="6"/>
    <x v="0"/>
  </r>
  <r>
    <x v="60"/>
    <x v="1"/>
    <s v="Reached out to"/>
    <n v="600"/>
    <n v="0"/>
    <n v="500"/>
    <x v="7"/>
    <x v="1"/>
  </r>
  <r>
    <x v="60"/>
    <x v="1"/>
    <s v="Reached out to"/>
    <n v="600"/>
    <n v="0"/>
    <n v="500"/>
    <x v="8"/>
    <x v="3"/>
  </r>
  <r>
    <x v="60"/>
    <x v="1"/>
    <s v="Reached out to"/>
    <n v="600"/>
    <n v="0"/>
    <n v="500"/>
    <x v="9"/>
    <x v="0"/>
  </r>
  <r>
    <x v="60"/>
    <x v="1"/>
    <s v="Reached out to"/>
    <n v="600"/>
    <n v="0"/>
    <n v="500"/>
    <x v="10"/>
    <x v="3"/>
  </r>
  <r>
    <x v="61"/>
    <x v="0"/>
    <s v="Reached out to"/>
    <n v="300"/>
    <n v="0"/>
    <n v="500"/>
    <x v="0"/>
    <x v="0"/>
  </r>
  <r>
    <x v="61"/>
    <x v="0"/>
    <s v="Reached out to"/>
    <n v="300"/>
    <n v="0"/>
    <n v="500"/>
    <x v="1"/>
    <x v="0"/>
  </r>
  <r>
    <x v="61"/>
    <x v="0"/>
    <s v="Reached out to"/>
    <n v="300"/>
    <n v="0"/>
    <n v="500"/>
    <x v="2"/>
    <x v="0"/>
  </r>
  <r>
    <x v="61"/>
    <x v="0"/>
    <s v="Reached out to"/>
    <n v="300"/>
    <n v="0"/>
    <n v="500"/>
    <x v="3"/>
    <x v="0"/>
  </r>
  <r>
    <x v="61"/>
    <x v="0"/>
    <s v="Reached out to"/>
    <n v="300"/>
    <n v="0"/>
    <n v="500"/>
    <x v="4"/>
    <x v="3"/>
  </r>
  <r>
    <x v="61"/>
    <x v="0"/>
    <s v="Reached out to"/>
    <n v="300"/>
    <n v="0"/>
    <n v="500"/>
    <x v="5"/>
    <x v="1"/>
  </r>
  <r>
    <x v="61"/>
    <x v="0"/>
    <s v="Reached out to"/>
    <n v="300"/>
    <n v="0"/>
    <n v="500"/>
    <x v="6"/>
    <x v="0"/>
  </r>
  <r>
    <x v="61"/>
    <x v="0"/>
    <s v="Reached out to"/>
    <n v="300"/>
    <n v="0"/>
    <n v="500"/>
    <x v="7"/>
    <x v="0"/>
  </r>
  <r>
    <x v="61"/>
    <x v="0"/>
    <s v="Reached out to"/>
    <n v="300"/>
    <n v="0"/>
    <n v="500"/>
    <x v="8"/>
    <x v="0"/>
  </r>
  <r>
    <x v="61"/>
    <x v="0"/>
    <s v="Reached out to"/>
    <n v="300"/>
    <n v="0"/>
    <n v="500"/>
    <x v="9"/>
    <x v="0"/>
  </r>
  <r>
    <x v="61"/>
    <x v="0"/>
    <s v="Reached out to"/>
    <n v="300"/>
    <n v="0"/>
    <n v="500"/>
    <x v="10"/>
    <x v="0"/>
  </r>
  <r>
    <x v="62"/>
    <x v="1"/>
    <s v="Reached out to"/>
    <n v="300"/>
    <n v="0"/>
    <n v="500"/>
    <x v="0"/>
    <x v="0"/>
  </r>
  <r>
    <x v="62"/>
    <x v="1"/>
    <s v="Reached out to"/>
    <n v="300"/>
    <n v="0"/>
    <n v="500"/>
    <x v="1"/>
    <x v="0"/>
  </r>
  <r>
    <x v="62"/>
    <x v="1"/>
    <s v="Reached out to"/>
    <n v="300"/>
    <n v="0"/>
    <n v="500"/>
    <x v="2"/>
    <x v="0"/>
  </r>
  <r>
    <x v="62"/>
    <x v="1"/>
    <s v="Reached out to"/>
    <n v="300"/>
    <n v="0"/>
    <n v="500"/>
    <x v="3"/>
    <x v="3"/>
  </r>
  <r>
    <x v="62"/>
    <x v="1"/>
    <s v="Reached out to"/>
    <n v="300"/>
    <n v="0"/>
    <n v="500"/>
    <x v="4"/>
    <x v="0"/>
  </r>
  <r>
    <x v="62"/>
    <x v="1"/>
    <s v="Reached out to"/>
    <n v="300"/>
    <n v="0"/>
    <n v="500"/>
    <x v="5"/>
    <x v="0"/>
  </r>
  <r>
    <x v="62"/>
    <x v="1"/>
    <s v="Reached out to"/>
    <n v="300"/>
    <n v="0"/>
    <n v="500"/>
    <x v="6"/>
    <x v="0"/>
  </r>
  <r>
    <x v="62"/>
    <x v="1"/>
    <s v="Reached out to"/>
    <n v="300"/>
    <n v="0"/>
    <n v="500"/>
    <x v="7"/>
    <x v="2"/>
  </r>
  <r>
    <x v="62"/>
    <x v="1"/>
    <s v="Reached out to"/>
    <n v="300"/>
    <n v="0"/>
    <n v="500"/>
    <x v="8"/>
    <x v="0"/>
  </r>
  <r>
    <x v="62"/>
    <x v="1"/>
    <s v="Reached out to"/>
    <n v="300"/>
    <n v="0"/>
    <n v="500"/>
    <x v="9"/>
    <x v="2"/>
  </r>
  <r>
    <x v="62"/>
    <x v="1"/>
    <s v="Reached out to"/>
    <n v="300"/>
    <n v="0"/>
    <n v="500"/>
    <x v="10"/>
    <x v="1"/>
  </r>
  <r>
    <x v="63"/>
    <x v="1"/>
    <s v="Paid"/>
    <n v="300"/>
    <n v="0"/>
    <n v="3500"/>
    <x v="0"/>
    <x v="3"/>
  </r>
  <r>
    <x v="63"/>
    <x v="1"/>
    <s v="Paid"/>
    <n v="300"/>
    <n v="0"/>
    <n v="3500"/>
    <x v="1"/>
    <x v="1"/>
  </r>
  <r>
    <x v="63"/>
    <x v="1"/>
    <s v="Paid"/>
    <n v="300"/>
    <n v="0"/>
    <n v="3500"/>
    <x v="2"/>
    <x v="1"/>
  </r>
  <r>
    <x v="63"/>
    <x v="1"/>
    <s v="Paid"/>
    <n v="300"/>
    <n v="0"/>
    <n v="3500"/>
    <x v="3"/>
    <x v="1"/>
  </r>
  <r>
    <x v="63"/>
    <x v="1"/>
    <s v="Paid"/>
    <n v="300"/>
    <n v="0"/>
    <n v="3500"/>
    <x v="4"/>
    <x v="0"/>
  </r>
  <r>
    <x v="63"/>
    <x v="1"/>
    <s v="Paid"/>
    <n v="300"/>
    <n v="0"/>
    <n v="3500"/>
    <x v="5"/>
    <x v="1"/>
  </r>
  <r>
    <x v="63"/>
    <x v="1"/>
    <s v="Paid"/>
    <n v="300"/>
    <n v="0"/>
    <n v="3500"/>
    <x v="6"/>
    <x v="0"/>
  </r>
  <r>
    <x v="63"/>
    <x v="1"/>
    <s v="Paid"/>
    <n v="300"/>
    <n v="0"/>
    <n v="3500"/>
    <x v="7"/>
    <x v="1"/>
  </r>
  <r>
    <x v="63"/>
    <x v="1"/>
    <s v="Paid"/>
    <n v="300"/>
    <n v="0"/>
    <n v="3500"/>
    <x v="8"/>
    <x v="1"/>
  </r>
  <r>
    <x v="63"/>
    <x v="1"/>
    <s v="Paid"/>
    <n v="300"/>
    <n v="0"/>
    <n v="3500"/>
    <x v="9"/>
    <x v="1"/>
  </r>
  <r>
    <x v="63"/>
    <x v="1"/>
    <s v="Paid"/>
    <n v="300"/>
    <n v="0"/>
    <n v="3500"/>
    <x v="10"/>
    <x v="0"/>
  </r>
  <r>
    <x v="64"/>
    <x v="1"/>
    <s v="Reached out to"/>
    <n v="600"/>
    <n v="0"/>
    <n v="1500"/>
    <x v="0"/>
    <x v="0"/>
  </r>
  <r>
    <x v="64"/>
    <x v="1"/>
    <s v="Reached out to"/>
    <n v="600"/>
    <n v="0"/>
    <n v="1500"/>
    <x v="1"/>
    <x v="1"/>
  </r>
  <r>
    <x v="64"/>
    <x v="1"/>
    <s v="Reached out to"/>
    <n v="600"/>
    <n v="0"/>
    <n v="1500"/>
    <x v="2"/>
    <x v="0"/>
  </r>
  <r>
    <x v="64"/>
    <x v="1"/>
    <s v="Reached out to"/>
    <n v="600"/>
    <n v="0"/>
    <n v="1500"/>
    <x v="3"/>
    <x v="1"/>
  </r>
  <r>
    <x v="64"/>
    <x v="1"/>
    <s v="Reached out to"/>
    <n v="600"/>
    <n v="0"/>
    <n v="1500"/>
    <x v="4"/>
    <x v="3"/>
  </r>
  <r>
    <x v="64"/>
    <x v="1"/>
    <s v="Reached out to"/>
    <n v="600"/>
    <n v="0"/>
    <n v="1500"/>
    <x v="5"/>
    <x v="2"/>
  </r>
  <r>
    <x v="64"/>
    <x v="1"/>
    <s v="Reached out to"/>
    <n v="600"/>
    <n v="0"/>
    <n v="1500"/>
    <x v="6"/>
    <x v="0"/>
  </r>
  <r>
    <x v="64"/>
    <x v="1"/>
    <s v="Reached out to"/>
    <n v="600"/>
    <n v="0"/>
    <n v="1500"/>
    <x v="7"/>
    <x v="0"/>
  </r>
  <r>
    <x v="64"/>
    <x v="1"/>
    <s v="Reached out to"/>
    <n v="600"/>
    <n v="0"/>
    <n v="1500"/>
    <x v="8"/>
    <x v="0"/>
  </r>
  <r>
    <x v="64"/>
    <x v="1"/>
    <s v="Reached out to"/>
    <n v="600"/>
    <n v="0"/>
    <n v="1500"/>
    <x v="9"/>
    <x v="0"/>
  </r>
  <r>
    <x v="64"/>
    <x v="1"/>
    <s v="Reached out to"/>
    <n v="600"/>
    <n v="0"/>
    <n v="1500"/>
    <x v="10"/>
    <x v="1"/>
  </r>
  <r>
    <x v="65"/>
    <x v="1"/>
    <s v="Reached out to"/>
    <n v="0"/>
    <n v="0"/>
    <n v="2500"/>
    <x v="0"/>
    <x v="0"/>
  </r>
  <r>
    <x v="65"/>
    <x v="1"/>
    <s v="Reached out to"/>
    <n v="0"/>
    <n v="0"/>
    <n v="2500"/>
    <x v="1"/>
    <x v="1"/>
  </r>
  <r>
    <x v="65"/>
    <x v="1"/>
    <s v="Reached out to"/>
    <n v="0"/>
    <n v="0"/>
    <n v="2500"/>
    <x v="2"/>
    <x v="1"/>
  </r>
  <r>
    <x v="65"/>
    <x v="1"/>
    <s v="Reached out to"/>
    <n v="0"/>
    <n v="0"/>
    <n v="2500"/>
    <x v="3"/>
    <x v="0"/>
  </r>
  <r>
    <x v="65"/>
    <x v="1"/>
    <s v="Reached out to"/>
    <n v="0"/>
    <n v="0"/>
    <n v="2500"/>
    <x v="4"/>
    <x v="0"/>
  </r>
  <r>
    <x v="65"/>
    <x v="1"/>
    <s v="Reached out to"/>
    <n v="0"/>
    <n v="0"/>
    <n v="2500"/>
    <x v="5"/>
    <x v="2"/>
  </r>
  <r>
    <x v="65"/>
    <x v="1"/>
    <s v="Reached out to"/>
    <n v="0"/>
    <n v="0"/>
    <n v="2500"/>
    <x v="6"/>
    <x v="1"/>
  </r>
  <r>
    <x v="65"/>
    <x v="1"/>
    <s v="Reached out to"/>
    <n v="0"/>
    <n v="0"/>
    <n v="2500"/>
    <x v="7"/>
    <x v="0"/>
  </r>
  <r>
    <x v="65"/>
    <x v="1"/>
    <s v="Reached out to"/>
    <n v="0"/>
    <n v="0"/>
    <n v="2500"/>
    <x v="8"/>
    <x v="1"/>
  </r>
  <r>
    <x v="65"/>
    <x v="1"/>
    <s v="Reached out to"/>
    <n v="0"/>
    <n v="0"/>
    <n v="2500"/>
    <x v="9"/>
    <x v="1"/>
  </r>
  <r>
    <x v="65"/>
    <x v="1"/>
    <s v="Reached out to"/>
    <n v="0"/>
    <n v="0"/>
    <n v="2500"/>
    <x v="10"/>
    <x v="0"/>
  </r>
  <r>
    <x v="66"/>
    <x v="1"/>
    <s v="Reached out to"/>
    <n v="300"/>
    <n v="0"/>
    <n v="1000"/>
    <x v="0"/>
    <x v="0"/>
  </r>
  <r>
    <x v="66"/>
    <x v="1"/>
    <s v="Reached out to"/>
    <n v="300"/>
    <n v="0"/>
    <n v="1000"/>
    <x v="1"/>
    <x v="0"/>
  </r>
  <r>
    <x v="66"/>
    <x v="1"/>
    <s v="Reached out to"/>
    <n v="300"/>
    <n v="0"/>
    <n v="1000"/>
    <x v="2"/>
    <x v="0"/>
  </r>
  <r>
    <x v="66"/>
    <x v="1"/>
    <s v="Reached out to"/>
    <n v="300"/>
    <n v="0"/>
    <n v="1000"/>
    <x v="3"/>
    <x v="0"/>
  </r>
  <r>
    <x v="66"/>
    <x v="1"/>
    <s v="Reached out to"/>
    <n v="300"/>
    <n v="0"/>
    <n v="1000"/>
    <x v="4"/>
    <x v="0"/>
  </r>
  <r>
    <x v="66"/>
    <x v="1"/>
    <s v="Reached out to"/>
    <n v="300"/>
    <n v="0"/>
    <n v="1000"/>
    <x v="5"/>
    <x v="3"/>
  </r>
  <r>
    <x v="66"/>
    <x v="1"/>
    <s v="Reached out to"/>
    <n v="300"/>
    <n v="0"/>
    <n v="1000"/>
    <x v="6"/>
    <x v="0"/>
  </r>
  <r>
    <x v="66"/>
    <x v="1"/>
    <s v="Reached out to"/>
    <n v="300"/>
    <n v="0"/>
    <n v="1000"/>
    <x v="7"/>
    <x v="1"/>
  </r>
  <r>
    <x v="66"/>
    <x v="1"/>
    <s v="Reached out to"/>
    <n v="300"/>
    <n v="0"/>
    <n v="1000"/>
    <x v="8"/>
    <x v="0"/>
  </r>
  <r>
    <x v="66"/>
    <x v="1"/>
    <s v="Reached out to"/>
    <n v="300"/>
    <n v="0"/>
    <n v="1000"/>
    <x v="9"/>
    <x v="1"/>
  </r>
  <r>
    <x v="66"/>
    <x v="1"/>
    <s v="Reached out to"/>
    <n v="300"/>
    <n v="0"/>
    <n v="1000"/>
    <x v="10"/>
    <x v="0"/>
  </r>
  <r>
    <x v="67"/>
    <x v="0"/>
    <s v="Paid"/>
    <n v="300"/>
    <n v="0"/>
    <n v="1000"/>
    <x v="0"/>
    <x v="0"/>
  </r>
  <r>
    <x v="67"/>
    <x v="0"/>
    <s v="Paid"/>
    <n v="300"/>
    <n v="0"/>
    <n v="1000"/>
    <x v="1"/>
    <x v="3"/>
  </r>
  <r>
    <x v="67"/>
    <x v="0"/>
    <s v="Paid"/>
    <n v="300"/>
    <n v="0"/>
    <n v="1000"/>
    <x v="2"/>
    <x v="0"/>
  </r>
  <r>
    <x v="67"/>
    <x v="0"/>
    <s v="Paid"/>
    <n v="300"/>
    <n v="0"/>
    <n v="1000"/>
    <x v="3"/>
    <x v="0"/>
  </r>
  <r>
    <x v="67"/>
    <x v="0"/>
    <s v="Paid"/>
    <n v="300"/>
    <n v="0"/>
    <n v="1000"/>
    <x v="4"/>
    <x v="0"/>
  </r>
  <r>
    <x v="67"/>
    <x v="0"/>
    <s v="Paid"/>
    <n v="300"/>
    <n v="0"/>
    <n v="1000"/>
    <x v="5"/>
    <x v="0"/>
  </r>
  <r>
    <x v="67"/>
    <x v="0"/>
    <s v="Paid"/>
    <n v="300"/>
    <n v="0"/>
    <n v="1000"/>
    <x v="6"/>
    <x v="0"/>
  </r>
  <r>
    <x v="67"/>
    <x v="0"/>
    <s v="Paid"/>
    <n v="300"/>
    <n v="0"/>
    <n v="1000"/>
    <x v="7"/>
    <x v="2"/>
  </r>
  <r>
    <x v="67"/>
    <x v="0"/>
    <s v="Paid"/>
    <n v="300"/>
    <n v="0"/>
    <n v="1000"/>
    <x v="8"/>
    <x v="0"/>
  </r>
  <r>
    <x v="67"/>
    <x v="0"/>
    <s v="Paid"/>
    <n v="300"/>
    <n v="0"/>
    <n v="1000"/>
    <x v="9"/>
    <x v="1"/>
  </r>
  <r>
    <x v="67"/>
    <x v="0"/>
    <s v="Paid"/>
    <n v="300"/>
    <n v="0"/>
    <n v="1000"/>
    <x v="10"/>
    <x v="1"/>
  </r>
  <r>
    <x v="68"/>
    <x v="0"/>
    <s v="Paid"/>
    <n v="900"/>
    <n v="0"/>
    <n v="2000"/>
    <x v="0"/>
    <x v="0"/>
  </r>
  <r>
    <x v="68"/>
    <x v="0"/>
    <s v="Paid"/>
    <n v="900"/>
    <n v="0"/>
    <n v="2000"/>
    <x v="1"/>
    <x v="1"/>
  </r>
  <r>
    <x v="68"/>
    <x v="0"/>
    <s v="Paid"/>
    <n v="900"/>
    <n v="0"/>
    <n v="2000"/>
    <x v="2"/>
    <x v="1"/>
  </r>
  <r>
    <x v="68"/>
    <x v="0"/>
    <s v="Paid"/>
    <n v="900"/>
    <n v="0"/>
    <n v="2000"/>
    <x v="3"/>
    <x v="1"/>
  </r>
  <r>
    <x v="68"/>
    <x v="0"/>
    <s v="Paid"/>
    <n v="900"/>
    <n v="0"/>
    <n v="2000"/>
    <x v="4"/>
    <x v="3"/>
  </r>
  <r>
    <x v="68"/>
    <x v="0"/>
    <s v="Paid"/>
    <n v="900"/>
    <n v="0"/>
    <n v="2000"/>
    <x v="5"/>
    <x v="3"/>
  </r>
  <r>
    <x v="68"/>
    <x v="0"/>
    <s v="Paid"/>
    <n v="900"/>
    <n v="0"/>
    <n v="2000"/>
    <x v="6"/>
    <x v="3"/>
  </r>
  <r>
    <x v="68"/>
    <x v="0"/>
    <s v="Paid"/>
    <n v="900"/>
    <n v="0"/>
    <n v="2000"/>
    <x v="7"/>
    <x v="1"/>
  </r>
  <r>
    <x v="68"/>
    <x v="0"/>
    <s v="Paid"/>
    <n v="900"/>
    <n v="0"/>
    <n v="2000"/>
    <x v="8"/>
    <x v="0"/>
  </r>
  <r>
    <x v="68"/>
    <x v="0"/>
    <s v="Paid"/>
    <n v="900"/>
    <n v="0"/>
    <n v="2000"/>
    <x v="9"/>
    <x v="0"/>
  </r>
  <r>
    <x v="68"/>
    <x v="0"/>
    <s v="Paid"/>
    <n v="900"/>
    <n v="0"/>
    <n v="2000"/>
    <x v="10"/>
    <x v="0"/>
  </r>
  <r>
    <x v="69"/>
    <x v="1"/>
    <s v="Reached out to"/>
    <n v="0"/>
    <n v="0"/>
    <n v="2000"/>
    <x v="0"/>
    <x v="1"/>
  </r>
  <r>
    <x v="69"/>
    <x v="1"/>
    <s v="Reached out to"/>
    <n v="0"/>
    <n v="0"/>
    <n v="2000"/>
    <x v="1"/>
    <x v="1"/>
  </r>
  <r>
    <x v="69"/>
    <x v="1"/>
    <s v="Reached out to"/>
    <n v="0"/>
    <n v="0"/>
    <n v="2000"/>
    <x v="2"/>
    <x v="0"/>
  </r>
  <r>
    <x v="69"/>
    <x v="1"/>
    <s v="Reached out to"/>
    <n v="0"/>
    <n v="0"/>
    <n v="2000"/>
    <x v="3"/>
    <x v="1"/>
  </r>
  <r>
    <x v="69"/>
    <x v="1"/>
    <s v="Reached out to"/>
    <n v="0"/>
    <n v="0"/>
    <n v="2000"/>
    <x v="4"/>
    <x v="0"/>
  </r>
  <r>
    <x v="69"/>
    <x v="1"/>
    <s v="Reached out to"/>
    <n v="0"/>
    <n v="0"/>
    <n v="2000"/>
    <x v="5"/>
    <x v="0"/>
  </r>
  <r>
    <x v="69"/>
    <x v="1"/>
    <s v="Reached out to"/>
    <n v="0"/>
    <n v="0"/>
    <n v="2000"/>
    <x v="6"/>
    <x v="0"/>
  </r>
  <r>
    <x v="69"/>
    <x v="1"/>
    <s v="Reached out to"/>
    <n v="0"/>
    <n v="0"/>
    <n v="2000"/>
    <x v="7"/>
    <x v="0"/>
  </r>
  <r>
    <x v="69"/>
    <x v="1"/>
    <s v="Reached out to"/>
    <n v="0"/>
    <n v="0"/>
    <n v="2000"/>
    <x v="8"/>
    <x v="0"/>
  </r>
  <r>
    <x v="69"/>
    <x v="1"/>
    <s v="Reached out to"/>
    <n v="0"/>
    <n v="0"/>
    <n v="2000"/>
    <x v="9"/>
    <x v="0"/>
  </r>
  <r>
    <x v="69"/>
    <x v="1"/>
    <s v="Reached out to"/>
    <n v="0"/>
    <n v="0"/>
    <n v="2000"/>
    <x v="10"/>
    <x v="1"/>
  </r>
  <r>
    <x v="70"/>
    <x v="1"/>
    <s v="Reached out to"/>
    <n v="0"/>
    <n v="0"/>
    <n v="500"/>
    <x v="0"/>
    <x v="0"/>
  </r>
  <r>
    <x v="70"/>
    <x v="1"/>
    <s v="Reached out to"/>
    <n v="0"/>
    <n v="0"/>
    <n v="500"/>
    <x v="1"/>
    <x v="0"/>
  </r>
  <r>
    <x v="70"/>
    <x v="1"/>
    <s v="Reached out to"/>
    <n v="0"/>
    <n v="0"/>
    <n v="500"/>
    <x v="2"/>
    <x v="0"/>
  </r>
  <r>
    <x v="70"/>
    <x v="1"/>
    <s v="Reached out to"/>
    <n v="0"/>
    <n v="0"/>
    <n v="500"/>
    <x v="3"/>
    <x v="0"/>
  </r>
  <r>
    <x v="70"/>
    <x v="1"/>
    <s v="Reached out to"/>
    <n v="0"/>
    <n v="0"/>
    <n v="500"/>
    <x v="4"/>
    <x v="0"/>
  </r>
  <r>
    <x v="70"/>
    <x v="1"/>
    <s v="Reached out to"/>
    <n v="0"/>
    <n v="0"/>
    <n v="500"/>
    <x v="5"/>
    <x v="0"/>
  </r>
  <r>
    <x v="70"/>
    <x v="1"/>
    <s v="Reached out to"/>
    <n v="0"/>
    <n v="0"/>
    <n v="500"/>
    <x v="6"/>
    <x v="0"/>
  </r>
  <r>
    <x v="70"/>
    <x v="1"/>
    <s v="Reached out to"/>
    <n v="0"/>
    <n v="0"/>
    <n v="500"/>
    <x v="7"/>
    <x v="0"/>
  </r>
  <r>
    <x v="70"/>
    <x v="1"/>
    <s v="Reached out to"/>
    <n v="0"/>
    <n v="0"/>
    <n v="500"/>
    <x v="8"/>
    <x v="0"/>
  </r>
  <r>
    <x v="70"/>
    <x v="1"/>
    <s v="Reached out to"/>
    <n v="0"/>
    <n v="0"/>
    <n v="500"/>
    <x v="9"/>
    <x v="0"/>
  </r>
  <r>
    <x v="70"/>
    <x v="1"/>
    <s v="Reached out to"/>
    <n v="0"/>
    <n v="0"/>
    <n v="500"/>
    <x v="10"/>
    <x v="1"/>
  </r>
  <r>
    <x v="71"/>
    <x v="0"/>
    <s v="Reached out to"/>
    <n v="300"/>
    <n v="0"/>
    <n v="1500"/>
    <x v="0"/>
    <x v="0"/>
  </r>
  <r>
    <x v="71"/>
    <x v="0"/>
    <s v="Reached out to"/>
    <n v="300"/>
    <n v="0"/>
    <n v="1500"/>
    <x v="1"/>
    <x v="0"/>
  </r>
  <r>
    <x v="71"/>
    <x v="0"/>
    <s v="Reached out to"/>
    <n v="300"/>
    <n v="0"/>
    <n v="1500"/>
    <x v="2"/>
    <x v="1"/>
  </r>
  <r>
    <x v="71"/>
    <x v="0"/>
    <s v="Reached out to"/>
    <n v="300"/>
    <n v="0"/>
    <n v="1500"/>
    <x v="3"/>
    <x v="1"/>
  </r>
  <r>
    <x v="71"/>
    <x v="0"/>
    <s v="Reached out to"/>
    <n v="300"/>
    <n v="0"/>
    <n v="1500"/>
    <x v="4"/>
    <x v="0"/>
  </r>
  <r>
    <x v="71"/>
    <x v="0"/>
    <s v="Reached out to"/>
    <n v="300"/>
    <n v="0"/>
    <n v="1500"/>
    <x v="5"/>
    <x v="3"/>
  </r>
  <r>
    <x v="71"/>
    <x v="0"/>
    <s v="Reached out to"/>
    <n v="300"/>
    <n v="0"/>
    <n v="1500"/>
    <x v="6"/>
    <x v="0"/>
  </r>
  <r>
    <x v="71"/>
    <x v="0"/>
    <s v="Reached out to"/>
    <n v="300"/>
    <n v="0"/>
    <n v="1500"/>
    <x v="7"/>
    <x v="0"/>
  </r>
  <r>
    <x v="71"/>
    <x v="0"/>
    <s v="Reached out to"/>
    <n v="300"/>
    <n v="0"/>
    <n v="1500"/>
    <x v="8"/>
    <x v="0"/>
  </r>
  <r>
    <x v="71"/>
    <x v="0"/>
    <s v="Reached out to"/>
    <n v="300"/>
    <n v="0"/>
    <n v="1500"/>
    <x v="9"/>
    <x v="1"/>
  </r>
  <r>
    <x v="71"/>
    <x v="0"/>
    <s v="Reached out to"/>
    <n v="300"/>
    <n v="0"/>
    <n v="1500"/>
    <x v="10"/>
    <x v="0"/>
  </r>
  <r>
    <x v="72"/>
    <x v="0"/>
    <s v="Not owing"/>
    <n v="0"/>
    <n v="0"/>
    <n v="0"/>
    <x v="0"/>
    <x v="0"/>
  </r>
  <r>
    <x v="72"/>
    <x v="0"/>
    <s v="Not owing"/>
    <n v="0"/>
    <n v="0"/>
    <n v="0"/>
    <x v="1"/>
    <x v="0"/>
  </r>
  <r>
    <x v="72"/>
    <x v="0"/>
    <s v="Not owing"/>
    <n v="0"/>
    <n v="0"/>
    <n v="0"/>
    <x v="2"/>
    <x v="0"/>
  </r>
  <r>
    <x v="72"/>
    <x v="0"/>
    <s v="Not owing"/>
    <n v="0"/>
    <n v="0"/>
    <n v="0"/>
    <x v="3"/>
    <x v="0"/>
  </r>
  <r>
    <x v="72"/>
    <x v="0"/>
    <s v="Not owing"/>
    <n v="0"/>
    <n v="0"/>
    <n v="0"/>
    <x v="4"/>
    <x v="0"/>
  </r>
  <r>
    <x v="72"/>
    <x v="0"/>
    <s v="Not owing"/>
    <n v="0"/>
    <n v="0"/>
    <n v="0"/>
    <x v="5"/>
    <x v="0"/>
  </r>
  <r>
    <x v="72"/>
    <x v="0"/>
    <s v="Not owing"/>
    <n v="0"/>
    <n v="0"/>
    <n v="0"/>
    <x v="6"/>
    <x v="0"/>
  </r>
  <r>
    <x v="72"/>
    <x v="0"/>
    <s v="Not owing"/>
    <n v="0"/>
    <n v="0"/>
    <n v="0"/>
    <x v="7"/>
    <x v="0"/>
  </r>
  <r>
    <x v="72"/>
    <x v="0"/>
    <s v="Not owing"/>
    <n v="0"/>
    <n v="0"/>
    <n v="0"/>
    <x v="8"/>
    <x v="2"/>
  </r>
  <r>
    <x v="72"/>
    <x v="0"/>
    <s v="Not owing"/>
    <n v="0"/>
    <n v="0"/>
    <n v="0"/>
    <x v="9"/>
    <x v="0"/>
  </r>
  <r>
    <x v="72"/>
    <x v="0"/>
    <s v="Not owing"/>
    <n v="0"/>
    <n v="0"/>
    <n v="0"/>
    <x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3">
  <r>
    <x v="0"/>
    <x v="0"/>
    <s v="P"/>
    <s v="P"/>
    <s v="U"/>
    <s v="P"/>
    <s v="P"/>
    <s v="P"/>
    <s v="P"/>
    <s v="P"/>
    <s v="P"/>
    <s v="U"/>
    <s v="P"/>
    <x v="0"/>
    <n v="0"/>
    <n v="0"/>
    <n v="1000"/>
    <n v="1000"/>
    <n v="2"/>
    <x v="0"/>
  </r>
  <r>
    <x v="1"/>
    <x v="0"/>
    <s v="P"/>
    <s v="P"/>
    <s v="P"/>
    <s v="P"/>
    <s v="P"/>
    <s v="P"/>
    <s v="P"/>
    <s v="P"/>
    <s v="E"/>
    <s v="P"/>
    <s v="P"/>
    <x v="1"/>
    <n v="0"/>
    <n v="0"/>
    <n v="0"/>
    <n v="0"/>
    <n v="0"/>
    <x v="1"/>
  </r>
  <r>
    <x v="2"/>
    <x v="1"/>
    <s v="P"/>
    <s v="P"/>
    <s v="P"/>
    <s v="P"/>
    <s v="P"/>
    <s v="P"/>
    <s v="P"/>
    <s v="P"/>
    <s v="U"/>
    <s v="U"/>
    <s v="E"/>
    <x v="2"/>
    <n v="0"/>
    <n v="0"/>
    <n v="1000"/>
    <n v="1000"/>
    <n v="2"/>
    <x v="0"/>
  </r>
  <r>
    <x v="3"/>
    <x v="1"/>
    <s v="U"/>
    <s v="E"/>
    <s v="U"/>
    <s v="U"/>
    <s v="P"/>
    <s v="P"/>
    <s v="P"/>
    <s v="P"/>
    <s v="P"/>
    <s v="L"/>
    <s v="U"/>
    <x v="2"/>
    <n v="300"/>
    <n v="0"/>
    <n v="2000"/>
    <n v="2300"/>
    <n v="4"/>
    <x v="0"/>
  </r>
  <r>
    <x v="4"/>
    <x v="1"/>
    <s v="U"/>
    <s v="U"/>
    <s v="P"/>
    <s v="U"/>
    <s v="U"/>
    <s v="U"/>
    <s v="P"/>
    <s v="U"/>
    <s v="P"/>
    <s v="P"/>
    <s v="E"/>
    <x v="2"/>
    <n v="0"/>
    <n v="0"/>
    <n v="3000"/>
    <n v="3000"/>
    <n v="6"/>
    <x v="0"/>
  </r>
  <r>
    <x v="5"/>
    <x v="1"/>
    <s v="P"/>
    <s v="P"/>
    <s v="L"/>
    <s v="L"/>
    <s v="L"/>
    <s v="L"/>
    <s v="P"/>
    <s v="L"/>
    <s v="E"/>
    <s v="P"/>
    <s v="P"/>
    <x v="2"/>
    <n v="1500"/>
    <n v="0"/>
    <n v="0"/>
    <n v="1500"/>
    <n v="0"/>
    <x v="1"/>
  </r>
  <r>
    <x v="6"/>
    <x v="0"/>
    <s v="P"/>
    <s v="P"/>
    <s v="P"/>
    <s v="P"/>
    <s v="E"/>
    <s v="P"/>
    <s v="P"/>
    <s v="P"/>
    <s v="P"/>
    <s v="P"/>
    <s v="P"/>
    <x v="1"/>
    <n v="0"/>
    <n v="0"/>
    <n v="0"/>
    <n v="0"/>
    <n v="0"/>
    <x v="1"/>
  </r>
  <r>
    <x v="7"/>
    <x v="0"/>
    <s v="P"/>
    <s v="P"/>
    <s v="P"/>
    <s v="P"/>
    <s v="U"/>
    <s v="P"/>
    <s v="P"/>
    <s v="U"/>
    <s v="P"/>
    <s v="P"/>
    <s v="P"/>
    <x v="0"/>
    <n v="0"/>
    <n v="0"/>
    <n v="1000"/>
    <n v="1000"/>
    <n v="2"/>
    <x v="0"/>
  </r>
  <r>
    <x v="8"/>
    <x v="1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9"/>
    <x v="1"/>
    <s v="U"/>
    <s v="U"/>
    <s v="P"/>
    <s v="P"/>
    <s v="P"/>
    <s v="E"/>
    <s v="P"/>
    <s v="P"/>
    <s v="P"/>
    <s v="P"/>
    <s v="U"/>
    <x v="2"/>
    <n v="0"/>
    <n v="0"/>
    <n v="1500"/>
    <n v="1500"/>
    <n v="3"/>
    <x v="0"/>
  </r>
  <r>
    <x v="10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11"/>
    <x v="1"/>
    <s v="P"/>
    <s v="U"/>
    <s v="P"/>
    <s v="P"/>
    <s v="P"/>
    <s v="L"/>
    <s v="P"/>
    <s v="U"/>
    <s v="P"/>
    <s v="P"/>
    <s v="L"/>
    <x v="0"/>
    <n v="600"/>
    <n v="0"/>
    <n v="500"/>
    <n v="1100"/>
    <n v="1"/>
    <x v="0"/>
  </r>
  <r>
    <x v="12"/>
    <x v="1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13"/>
    <x v="1"/>
    <s v="P"/>
    <s v="P"/>
    <s v="U"/>
    <s v="U"/>
    <s v="P"/>
    <s v="P"/>
    <s v="P"/>
    <s v="P"/>
    <s v="P"/>
    <s v="P"/>
    <s v="P"/>
    <x v="0"/>
    <n v="0"/>
    <n v="0"/>
    <n v="1000"/>
    <n v="1000"/>
    <n v="2"/>
    <x v="0"/>
  </r>
  <r>
    <x v="14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15"/>
    <x v="1"/>
    <s v="P"/>
    <s v="P"/>
    <s v="P"/>
    <s v="P"/>
    <s v="P"/>
    <s v="P"/>
    <s v="P"/>
    <s v="L"/>
    <s v="P"/>
    <s v="P"/>
    <s v="P"/>
    <x v="0"/>
    <n v="300"/>
    <n v="0"/>
    <n v="0"/>
    <n v="300"/>
    <n v="0"/>
    <x v="1"/>
  </r>
  <r>
    <x v="16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17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18"/>
    <x v="0"/>
    <s v="P"/>
    <s v="U"/>
    <s v="U"/>
    <s v="P"/>
    <s v="L"/>
    <s v="L"/>
    <s v="L"/>
    <s v="U"/>
    <s v="L"/>
    <s v="E"/>
    <s v="P"/>
    <x v="2"/>
    <n v="1200"/>
    <n v="0"/>
    <n v="1500"/>
    <n v="2700"/>
    <n v="3"/>
    <x v="0"/>
  </r>
  <r>
    <x v="19"/>
    <x v="0"/>
    <s v="P"/>
    <s v="L"/>
    <s v="U"/>
    <s v="E"/>
    <s v="P"/>
    <s v="P"/>
    <s v="U"/>
    <s v="P"/>
    <s v="U"/>
    <s v="P"/>
    <s v="P"/>
    <x v="2"/>
    <n v="300"/>
    <n v="0"/>
    <n v="1500"/>
    <n v="1800"/>
    <n v="3"/>
    <x v="0"/>
  </r>
  <r>
    <x v="20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21"/>
    <x v="0"/>
    <s v="P"/>
    <s v="L"/>
    <s v="U"/>
    <s v="E"/>
    <s v="P"/>
    <s v="U"/>
    <s v="P"/>
    <s v="U"/>
    <s v="P"/>
    <s v="P"/>
    <s v="P"/>
    <x v="0"/>
    <n v="300"/>
    <n v="0"/>
    <n v="1500"/>
    <n v="1800"/>
    <n v="3"/>
    <x v="0"/>
  </r>
  <r>
    <x v="22"/>
    <x v="1"/>
    <s v="P"/>
    <s v="P"/>
    <s v="P"/>
    <s v="P"/>
    <s v="P"/>
    <s v="P"/>
    <s v="P"/>
    <s v="P"/>
    <s v="P"/>
    <s v="U"/>
    <s v="P"/>
    <x v="0"/>
    <n v="0"/>
    <n v="0"/>
    <n v="500"/>
    <n v="500"/>
    <n v="1"/>
    <x v="0"/>
  </r>
  <r>
    <x v="23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24"/>
    <x v="0"/>
    <s v="P"/>
    <s v="P"/>
    <s v="U"/>
    <s v="P"/>
    <s v="P"/>
    <s v="P"/>
    <s v="P"/>
    <s v="P"/>
    <s v="P"/>
    <s v="P"/>
    <s v="P"/>
    <x v="0"/>
    <n v="0"/>
    <n v="0"/>
    <n v="500"/>
    <n v="500"/>
    <n v="1"/>
    <x v="0"/>
  </r>
  <r>
    <x v="25"/>
    <x v="0"/>
    <s v="P"/>
    <s v="P"/>
    <s v="P"/>
    <s v="U"/>
    <s v="P"/>
    <s v="P"/>
    <s v="P"/>
    <s v="U"/>
    <s v="P"/>
    <s v="P"/>
    <s v="P"/>
    <x v="2"/>
    <n v="0"/>
    <n v="0"/>
    <n v="1000"/>
    <n v="1000"/>
    <n v="2"/>
    <x v="0"/>
  </r>
  <r>
    <x v="26"/>
    <x v="1"/>
    <s v="P"/>
    <s v="P"/>
    <s v="P"/>
    <s v="U"/>
    <s v="L"/>
    <s v="P"/>
    <s v="P"/>
    <s v="P"/>
    <s v="P"/>
    <s v="P"/>
    <s v="L"/>
    <x v="2"/>
    <n v="600"/>
    <n v="0"/>
    <n v="500"/>
    <n v="1100"/>
    <n v="1"/>
    <x v="0"/>
  </r>
  <r>
    <x v="27"/>
    <x v="1"/>
    <s v="U"/>
    <s v="U"/>
    <s v="P"/>
    <s v="P"/>
    <s v="P"/>
    <s v="U"/>
    <s v="P"/>
    <s v="P"/>
    <s v="U"/>
    <s v="P"/>
    <s v="P"/>
    <x v="0"/>
    <n v="0"/>
    <n v="0"/>
    <n v="2000"/>
    <n v="2000"/>
    <n v="4"/>
    <x v="0"/>
  </r>
  <r>
    <x v="28"/>
    <x v="1"/>
    <s v="P"/>
    <s v="P"/>
    <s v="P"/>
    <s v="P"/>
    <s v="P"/>
    <s v="P"/>
    <s v="P"/>
    <s v="P"/>
    <m/>
    <s v="U"/>
    <s v="U"/>
    <x v="2"/>
    <n v="0"/>
    <n v="0"/>
    <n v="1000"/>
    <n v="1000"/>
    <n v="2"/>
    <x v="0"/>
  </r>
  <r>
    <x v="29"/>
    <x v="1"/>
    <s v="P"/>
    <s v="P"/>
    <s v="P"/>
    <s v="P"/>
    <s v="P"/>
    <s v="P"/>
    <s v="P"/>
    <s v="U"/>
    <s v="P"/>
    <s v="P"/>
    <s v="U"/>
    <x v="2"/>
    <n v="0"/>
    <n v="0"/>
    <n v="1000"/>
    <n v="1000"/>
    <n v="2"/>
    <x v="0"/>
  </r>
  <r>
    <x v="30"/>
    <x v="1"/>
    <s v="P"/>
    <s v="P"/>
    <s v="U"/>
    <s v="P"/>
    <s v="P"/>
    <s v="E"/>
    <s v="P"/>
    <s v="P"/>
    <s v="P"/>
    <s v="U"/>
    <s v="U"/>
    <x v="0"/>
    <n v="0"/>
    <n v="0"/>
    <n v="1500"/>
    <n v="1500"/>
    <n v="3"/>
    <x v="0"/>
  </r>
  <r>
    <x v="31"/>
    <x v="0"/>
    <s v="L"/>
    <s v="U"/>
    <s v="P"/>
    <s v="P"/>
    <s v="P"/>
    <s v="U"/>
    <s v="P"/>
    <s v="P"/>
    <s v="U"/>
    <s v="P"/>
    <s v="E"/>
    <x v="2"/>
    <n v="300"/>
    <n v="0"/>
    <n v="1500"/>
    <n v="1800"/>
    <n v="3"/>
    <x v="0"/>
  </r>
  <r>
    <x v="32"/>
    <x v="1"/>
    <s v="P"/>
    <s v="L"/>
    <s v="P"/>
    <s v="P"/>
    <s v="U"/>
    <s v="P"/>
    <s v="L"/>
    <s v="U"/>
    <s v="P"/>
    <s v="P"/>
    <s v="P"/>
    <x v="2"/>
    <n v="600"/>
    <n v="0"/>
    <n v="1000"/>
    <n v="1600"/>
    <n v="2"/>
    <x v="0"/>
  </r>
  <r>
    <x v="33"/>
    <x v="0"/>
    <s v="P"/>
    <s v="P"/>
    <s v="P"/>
    <s v="P"/>
    <s v="P"/>
    <s v="E"/>
    <s v="U"/>
    <s v="P"/>
    <s v="P"/>
    <s v="P"/>
    <s v="P"/>
    <x v="0"/>
    <n v="0"/>
    <n v="0"/>
    <n v="500"/>
    <n v="500"/>
    <n v="1"/>
    <x v="0"/>
  </r>
  <r>
    <x v="34"/>
    <x v="1"/>
    <s v="P"/>
    <s v="P"/>
    <s v="P"/>
    <s v="U"/>
    <s v="P"/>
    <s v="P"/>
    <s v="P"/>
    <s v="U"/>
    <s v="P"/>
    <s v="P"/>
    <s v="P"/>
    <x v="0"/>
    <n v="0"/>
    <n v="0"/>
    <n v="1000"/>
    <n v="1000"/>
    <n v="2"/>
    <x v="0"/>
  </r>
  <r>
    <x v="35"/>
    <x v="0"/>
    <s v="P"/>
    <s v="P"/>
    <s v="P"/>
    <s v="E"/>
    <s v="P"/>
    <s v="P"/>
    <s v="P"/>
    <s v="P"/>
    <s v="E"/>
    <s v="E"/>
    <s v="P"/>
    <x v="1"/>
    <n v="0"/>
    <n v="0"/>
    <n v="0"/>
    <n v="0"/>
    <n v="0"/>
    <x v="1"/>
  </r>
  <r>
    <x v="36"/>
    <x v="0"/>
    <s v="P"/>
    <s v="L"/>
    <s v="P"/>
    <s v="U"/>
    <s v="U"/>
    <s v="L"/>
    <s v="P"/>
    <s v="P"/>
    <s v="P"/>
    <s v="P"/>
    <s v="P"/>
    <x v="0"/>
    <n v="600"/>
    <n v="0"/>
    <n v="1000"/>
    <n v="1600"/>
    <n v="2"/>
    <x v="0"/>
  </r>
  <r>
    <x v="37"/>
    <x v="0"/>
    <s v="P"/>
    <s v="P"/>
    <s v="P"/>
    <s v="P"/>
    <s v="P"/>
    <s v="E"/>
    <s v="P"/>
    <s v="P"/>
    <s v="P"/>
    <s v="P"/>
    <s v="P"/>
    <x v="1"/>
    <n v="0"/>
    <n v="0"/>
    <n v="0"/>
    <n v="0"/>
    <n v="0"/>
    <x v="1"/>
  </r>
  <r>
    <x v="38"/>
    <x v="1"/>
    <s v="P"/>
    <s v="P"/>
    <s v="P"/>
    <s v="P"/>
    <s v="P"/>
    <s v="P"/>
    <s v="L"/>
    <s v="L"/>
    <s v="P"/>
    <s v="P"/>
    <s v="P"/>
    <x v="2"/>
    <n v="600"/>
    <n v="0"/>
    <n v="0"/>
    <n v="600"/>
    <n v="0"/>
    <x v="1"/>
  </r>
  <r>
    <x v="39"/>
    <x v="0"/>
    <s v="P"/>
    <s v="P"/>
    <s v="P"/>
    <s v="P"/>
    <s v="L"/>
    <s v="P"/>
    <s v="P"/>
    <s v="P"/>
    <s v="P"/>
    <s v="P"/>
    <s v="P"/>
    <x v="2"/>
    <n v="300"/>
    <n v="0"/>
    <n v="0"/>
    <n v="300"/>
    <n v="0"/>
    <x v="1"/>
  </r>
  <r>
    <x v="40"/>
    <x v="1"/>
    <s v="P"/>
    <s v="P"/>
    <s v="U"/>
    <s v="P"/>
    <s v="P"/>
    <s v="E"/>
    <s v="P"/>
    <s v="P"/>
    <s v="L"/>
    <s v="E"/>
    <s v="P"/>
    <x v="2"/>
    <n v="300"/>
    <n v="0"/>
    <n v="500"/>
    <n v="800"/>
    <n v="1"/>
    <x v="0"/>
  </r>
  <r>
    <x v="41"/>
    <x v="1"/>
    <s v="P"/>
    <s v="U"/>
    <s v="U"/>
    <s v="P"/>
    <s v="U"/>
    <s v="L"/>
    <s v="P"/>
    <s v="P"/>
    <s v="L"/>
    <s v="U"/>
    <s v="P"/>
    <x v="2"/>
    <n v="600"/>
    <n v="0"/>
    <n v="2000"/>
    <n v="2600"/>
    <n v="4"/>
    <x v="0"/>
  </r>
  <r>
    <x v="42"/>
    <x v="1"/>
    <s v="P"/>
    <s v="P"/>
    <s v="P"/>
    <s v="P"/>
    <s v="P"/>
    <s v="L"/>
    <s v="P"/>
    <s v="P"/>
    <s v="P"/>
    <s v="U"/>
    <s v="P"/>
    <x v="2"/>
    <n v="300"/>
    <n v="0"/>
    <n v="500"/>
    <n v="800"/>
    <n v="1"/>
    <x v="0"/>
  </r>
  <r>
    <x v="43"/>
    <x v="1"/>
    <s v="P"/>
    <s v="P"/>
    <s v="U"/>
    <s v="P"/>
    <s v="P"/>
    <s v="P"/>
    <s v="P"/>
    <s v="P"/>
    <s v="P"/>
    <s v="P"/>
    <s v="U"/>
    <x v="2"/>
    <n v="0"/>
    <n v="0"/>
    <n v="1000"/>
    <n v="1000"/>
    <n v="2"/>
    <x v="0"/>
  </r>
  <r>
    <x v="44"/>
    <x v="1"/>
    <s v="U"/>
    <s v="P"/>
    <s v="P"/>
    <s v="P"/>
    <s v="P"/>
    <s v="P"/>
    <s v="P"/>
    <s v="P"/>
    <s v="P"/>
    <s v="P"/>
    <s v="P"/>
    <x v="0"/>
    <n v="0"/>
    <n v="0"/>
    <n v="500"/>
    <n v="500"/>
    <n v="1"/>
    <x v="0"/>
  </r>
  <r>
    <x v="45"/>
    <x v="0"/>
    <s v="P"/>
    <s v="P"/>
    <s v="P"/>
    <s v="P"/>
    <s v="P"/>
    <s v="P"/>
    <s v="P"/>
    <s v="P"/>
    <s v="P"/>
    <s v="P"/>
    <s v="P"/>
    <x v="1"/>
    <n v="0"/>
    <n v="0"/>
    <n v="0"/>
    <n v="0"/>
    <n v="0"/>
    <x v="1"/>
  </r>
  <r>
    <x v="46"/>
    <x v="1"/>
    <s v="P"/>
    <s v="P"/>
    <s v="P"/>
    <s v="P"/>
    <s v="P"/>
    <s v="P"/>
    <s v="P"/>
    <s v="P"/>
    <s v="U"/>
    <s v="P"/>
    <s v="P"/>
    <x v="0"/>
    <n v="0"/>
    <n v="0"/>
    <n v="500"/>
    <n v="500"/>
    <n v="1"/>
    <x v="0"/>
  </r>
  <r>
    <x v="47"/>
    <x v="0"/>
    <s v="P"/>
    <s v="U"/>
    <s v="P"/>
    <s v="E"/>
    <s v="P"/>
    <s v="P"/>
    <s v="U"/>
    <s v="P"/>
    <s v="P"/>
    <s v="P"/>
    <s v="P"/>
    <x v="2"/>
    <n v="0"/>
    <n v="0"/>
    <n v="1000"/>
    <n v="1000"/>
    <n v="2"/>
    <x v="0"/>
  </r>
  <r>
    <x v="48"/>
    <x v="0"/>
    <s v="L"/>
    <s v="P"/>
    <s v="P"/>
    <s v="L"/>
    <s v="U"/>
    <s v="L"/>
    <s v="P"/>
    <s v="P"/>
    <s v="P"/>
    <s v="P"/>
    <s v="P"/>
    <x v="2"/>
    <n v="900"/>
    <n v="0"/>
    <n v="500"/>
    <n v="1400"/>
    <n v="1"/>
    <x v="0"/>
  </r>
  <r>
    <x v="49"/>
    <x v="0"/>
    <s v="L"/>
    <s v="P"/>
    <s v="U"/>
    <s v="P"/>
    <s v="U"/>
    <s v="P"/>
    <s v="U"/>
    <s v="U"/>
    <s v="P"/>
    <s v="P"/>
    <s v="U"/>
    <x v="0"/>
    <n v="300"/>
    <n v="0"/>
    <n v="1500"/>
    <n v="1800"/>
    <n v="3"/>
    <x v="0"/>
  </r>
  <r>
    <x v="50"/>
    <x v="0"/>
    <s v="P"/>
    <s v="P"/>
    <s v="E"/>
    <s v="P"/>
    <s v="E"/>
    <s v="P"/>
    <s v="U"/>
    <s v="U"/>
    <s v="P"/>
    <s v="P"/>
    <s v="P"/>
    <x v="2"/>
    <n v="0"/>
    <n v="0"/>
    <n v="1000"/>
    <n v="1000"/>
    <n v="2"/>
    <x v="0"/>
  </r>
  <r>
    <x v="51"/>
    <x v="1"/>
    <s v="U"/>
    <s v="L"/>
    <s v="U"/>
    <s v="L"/>
    <s v="U"/>
    <s v="P"/>
    <s v="U"/>
    <s v="U"/>
    <s v="U"/>
    <s v="U"/>
    <s v="U"/>
    <x v="2"/>
    <n v="600"/>
    <n v="0"/>
    <n v="4000"/>
    <n v="4600"/>
    <n v="8"/>
    <x v="0"/>
  </r>
  <r>
    <x v="52"/>
    <x v="1"/>
    <s v="P"/>
    <s v="P"/>
    <s v="P"/>
    <s v="P"/>
    <s v="P"/>
    <s v="E"/>
    <s v="P"/>
    <s v="P"/>
    <s v="P"/>
    <s v="P"/>
    <s v="P"/>
    <x v="1"/>
    <n v="0"/>
    <n v="0"/>
    <n v="0"/>
    <n v="0"/>
    <n v="0"/>
    <x v="1"/>
  </r>
  <r>
    <x v="53"/>
    <x v="1"/>
    <s v="P"/>
    <s v="P"/>
    <s v="P"/>
    <s v="P"/>
    <s v="U"/>
    <s v="P"/>
    <s v="P"/>
    <s v="L"/>
    <s v="P"/>
    <s v="L"/>
    <s v="P"/>
    <x v="2"/>
    <n v="600"/>
    <n v="0"/>
    <n v="500"/>
    <n v="1100"/>
    <n v="1"/>
    <x v="0"/>
  </r>
  <r>
    <x v="54"/>
    <x v="1"/>
    <s v="P"/>
    <s v="P"/>
    <s v="P"/>
    <s v="P"/>
    <s v="P"/>
    <s v="P"/>
    <s v="P"/>
    <s v="L"/>
    <s v="U"/>
    <s v="P"/>
    <s v="P"/>
    <x v="2"/>
    <n v="300"/>
    <n v="0"/>
    <n v="500"/>
    <n v="800"/>
    <n v="1"/>
    <x v="0"/>
  </r>
  <r>
    <x v="55"/>
    <x v="0"/>
    <s v="P"/>
    <s v="P"/>
    <s v="P"/>
    <s v="L"/>
    <s v="E"/>
    <s v="E"/>
    <s v="P"/>
    <s v="P"/>
    <s v="E"/>
    <s v="P"/>
    <s v="P"/>
    <x v="0"/>
    <n v="300"/>
    <n v="0"/>
    <n v="0"/>
    <n v="300"/>
    <n v="0"/>
    <x v="1"/>
  </r>
  <r>
    <x v="56"/>
    <x v="0"/>
    <s v="P"/>
    <s v="U"/>
    <s v="P"/>
    <s v="P"/>
    <s v="P"/>
    <s v="P"/>
    <s v="P"/>
    <s v="P"/>
    <s v="P"/>
    <s v="P"/>
    <s v="P"/>
    <x v="0"/>
    <n v="0"/>
    <n v="0"/>
    <n v="500"/>
    <n v="500"/>
    <n v="1"/>
    <x v="0"/>
  </r>
  <r>
    <x v="57"/>
    <x v="0"/>
    <s v="P"/>
    <s v="P"/>
    <s v="P"/>
    <s v="U"/>
    <s v="P"/>
    <s v="P"/>
    <s v="P"/>
    <s v="U"/>
    <s v="P"/>
    <s v="P"/>
    <s v="P"/>
    <x v="0"/>
    <n v="0"/>
    <n v="0"/>
    <n v="1000"/>
    <n v="1000"/>
    <n v="2"/>
    <x v="0"/>
  </r>
  <r>
    <x v="58"/>
    <x v="1"/>
    <s v="P"/>
    <s v="P"/>
    <s v="P"/>
    <s v="P"/>
    <s v="P"/>
    <s v="P"/>
    <s v="P"/>
    <s v="E"/>
    <s v="P"/>
    <s v="P"/>
    <s v="P"/>
    <x v="1"/>
    <n v="0"/>
    <n v="0"/>
    <n v="0"/>
    <n v="0"/>
    <n v="0"/>
    <x v="1"/>
  </r>
  <r>
    <x v="59"/>
    <x v="0"/>
    <s v="P"/>
    <s v="U"/>
    <s v="P"/>
    <s v="P"/>
    <s v="P"/>
    <s v="P"/>
    <s v="P"/>
    <s v="E"/>
    <s v="E"/>
    <s v="E"/>
    <s v="E"/>
    <x v="0"/>
    <n v="0"/>
    <n v="0"/>
    <n v="500"/>
    <n v="500"/>
    <n v="1"/>
    <x v="0"/>
  </r>
  <r>
    <x v="60"/>
    <x v="1"/>
    <s v="P"/>
    <s v="P"/>
    <s v="P"/>
    <s v="P"/>
    <s v="P"/>
    <s v="P"/>
    <s v="P"/>
    <s v="U"/>
    <s v="L"/>
    <s v="P"/>
    <s v="L"/>
    <x v="2"/>
    <n v="600"/>
    <n v="0"/>
    <n v="500"/>
    <n v="1100"/>
    <n v="1"/>
    <x v="0"/>
  </r>
  <r>
    <x v="61"/>
    <x v="0"/>
    <s v="P"/>
    <s v="P"/>
    <s v="P"/>
    <s v="P"/>
    <s v="L"/>
    <s v="U"/>
    <s v="P"/>
    <s v="P"/>
    <s v="P"/>
    <s v="P"/>
    <s v="P"/>
    <x v="2"/>
    <n v="300"/>
    <n v="0"/>
    <n v="500"/>
    <n v="800"/>
    <n v="1"/>
    <x v="0"/>
  </r>
  <r>
    <x v="62"/>
    <x v="1"/>
    <s v="P"/>
    <s v="P"/>
    <s v="P"/>
    <s v="L"/>
    <s v="P"/>
    <s v="P"/>
    <s v="P"/>
    <s v="E"/>
    <s v="P"/>
    <s v="E"/>
    <s v="U"/>
    <x v="2"/>
    <n v="300"/>
    <n v="0"/>
    <n v="500"/>
    <n v="800"/>
    <n v="1"/>
    <x v="0"/>
  </r>
  <r>
    <x v="63"/>
    <x v="1"/>
    <s v="L"/>
    <s v="U"/>
    <s v="U"/>
    <s v="U"/>
    <s v="P"/>
    <s v="U"/>
    <s v="P"/>
    <s v="U"/>
    <s v="U"/>
    <s v="U"/>
    <s v="P"/>
    <x v="0"/>
    <n v="300"/>
    <n v="0"/>
    <n v="3500"/>
    <n v="3800"/>
    <n v="7"/>
    <x v="0"/>
  </r>
  <r>
    <x v="64"/>
    <x v="1"/>
    <s v="P"/>
    <s v="U"/>
    <s v="U"/>
    <s v="P"/>
    <s v="P"/>
    <s v="E"/>
    <s v="U"/>
    <s v="P"/>
    <s v="U"/>
    <s v="U"/>
    <s v="P"/>
    <x v="2"/>
    <n v="0"/>
    <n v="0"/>
    <n v="2500"/>
    <n v="2500"/>
    <n v="5"/>
    <x v="0"/>
  </r>
  <r>
    <x v="65"/>
    <x v="1"/>
    <s v="P"/>
    <s v="P"/>
    <s v="P"/>
    <s v="P"/>
    <s v="P"/>
    <s v="L"/>
    <s v="P"/>
    <s v="U"/>
    <s v="P"/>
    <s v="U"/>
    <s v="P"/>
    <x v="2"/>
    <n v="300"/>
    <n v="0"/>
    <n v="1000"/>
    <n v="1300"/>
    <n v="2"/>
    <x v="0"/>
  </r>
  <r>
    <x v="66"/>
    <x v="0"/>
    <s v="P"/>
    <s v="L"/>
    <s v="P"/>
    <s v="P"/>
    <s v="P"/>
    <s v="P"/>
    <s v="P"/>
    <s v="E"/>
    <s v="P"/>
    <s v="U"/>
    <s v="U"/>
    <x v="0"/>
    <n v="300"/>
    <n v="0"/>
    <n v="1000"/>
    <n v="1300"/>
    <n v="2"/>
    <x v="0"/>
  </r>
  <r>
    <x v="67"/>
    <x v="0"/>
    <s v="P"/>
    <s v="U"/>
    <s v="U"/>
    <s v="U"/>
    <s v="L"/>
    <s v="L"/>
    <s v="L"/>
    <s v="U"/>
    <s v="P"/>
    <s v="P"/>
    <s v="P"/>
    <x v="0"/>
    <n v="900"/>
    <n v="0"/>
    <n v="2000"/>
    <n v="2900"/>
    <n v="4"/>
    <x v="0"/>
  </r>
  <r>
    <x v="68"/>
    <x v="1"/>
    <s v="P"/>
    <s v="U"/>
    <s v="P"/>
    <s v="U"/>
    <s v="L"/>
    <s v="E"/>
    <s v="P"/>
    <s v="P"/>
    <s v="P"/>
    <s v="P"/>
    <s v="U"/>
    <x v="2"/>
    <n v="600"/>
    <n v="0"/>
    <n v="1500"/>
    <n v="2100"/>
    <n v="3"/>
    <x v="0"/>
  </r>
  <r>
    <x v="69"/>
    <x v="1"/>
    <s v="U"/>
    <s v="U"/>
    <s v="P"/>
    <s v="U"/>
    <s v="P"/>
    <s v="P"/>
    <s v="P"/>
    <s v="P"/>
    <s v="P"/>
    <s v="P"/>
    <s v="U"/>
    <x v="2"/>
    <n v="0"/>
    <n v="0"/>
    <n v="2000"/>
    <n v="2000"/>
    <n v="4"/>
    <x v="0"/>
  </r>
  <r>
    <x v="70"/>
    <x v="1"/>
    <s v="P"/>
    <s v="P"/>
    <s v="P"/>
    <s v="P"/>
    <s v="P"/>
    <s v="P"/>
    <s v="P"/>
    <s v="P"/>
    <s v="P"/>
    <s v="P"/>
    <s v="U"/>
    <x v="2"/>
    <n v="0"/>
    <n v="0"/>
    <n v="500"/>
    <n v="500"/>
    <n v="1"/>
    <x v="0"/>
  </r>
  <r>
    <x v="71"/>
    <x v="0"/>
    <s v="P"/>
    <s v="P"/>
    <s v="U"/>
    <s v="U"/>
    <s v="P"/>
    <s v="L"/>
    <s v="P"/>
    <s v="P"/>
    <s v="P"/>
    <s v="U"/>
    <s v="P"/>
    <x v="2"/>
    <n v="300"/>
    <n v="0"/>
    <n v="1500"/>
    <n v="1800"/>
    <n v="3"/>
    <x v="0"/>
  </r>
  <r>
    <x v="72"/>
    <x v="0"/>
    <s v="P"/>
    <s v="P"/>
    <s v="P"/>
    <s v="P"/>
    <s v="P"/>
    <s v="P"/>
    <s v="P"/>
    <s v="P"/>
    <s v="E"/>
    <s v="P"/>
    <s v="P"/>
    <x v="1"/>
    <n v="0"/>
    <n v="0"/>
    <n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embers" colHeaderCaption="Attendance">
  <location ref="A3:F78" firstHeaderRow="1" firstDataRow="2" firstDataCol="1" rowPageCount="1" colPageCount="1"/>
  <pivotFields count="8">
    <pivotField axis="axisRow" showAll="0">
      <items count="74">
        <item x="0"/>
        <item x="1"/>
        <item x="2"/>
        <item x="4"/>
        <item x="3"/>
        <item x="5"/>
        <item x="6"/>
        <item x="7"/>
        <item x="8"/>
        <item x="9"/>
        <item x="10"/>
        <item x="12"/>
        <item x="13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4"/>
        <item x="69"/>
        <item x="70"/>
        <item x="71"/>
        <item x="7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 defaultSubtotal="0"/>
    <pivotField axis="axisCol" dataField="1" showAll="0" defaultSubtotal="0">
      <items count="4">
        <item x="2"/>
        <item x="3"/>
        <item x="0"/>
        <item x="1"/>
      </items>
    </pivotField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Value" fld="7" subtotal="count" showDataAs="percentOfRow" baseField="0" baseItem="0" numFmtId="9"/>
  </dataFields>
  <formats count="68">
    <format dxfId="171">
      <pivotArea dataOnly="0" labelOnly="1" outline="0" fieldPosition="0">
        <references count="1">
          <reference field="1" count="0"/>
        </references>
      </pivotArea>
    </format>
    <format dxfId="170">
      <pivotArea field="1" type="button" dataOnly="0" labelOnly="1" outline="0" axis="axisPage" fieldPosition="0"/>
    </format>
    <format dxfId="169">
      <pivotArea dataOnly="0" labelOnly="1" outline="0" fieldPosition="0">
        <references count="1">
          <reference field="1" count="0"/>
        </references>
      </pivotArea>
    </format>
    <format dxfId="168">
      <pivotArea field="1" type="button" dataOnly="0" labelOnly="1" outline="0" axis="axisPage" fieldPosition="0"/>
    </format>
    <format dxfId="167">
      <pivotArea type="origin" dataOnly="0" labelOnly="1" outline="0" fieldPosition="0"/>
    </format>
    <format dxfId="166">
      <pivotArea field="0" type="button" dataOnly="0" labelOnly="1" outline="0" axis="axisRow" fieldPosition="0"/>
    </format>
    <format dxfId="165">
      <pivotArea dataOnly="0" labelOnly="1" grandCol="1" outline="0" fieldPosition="0"/>
    </format>
    <format dxfId="164">
      <pivotArea type="origin" dataOnly="0" labelOnly="1" outline="0" fieldPosition="0"/>
    </format>
    <format dxfId="163">
      <pivotArea field="0" type="button" dataOnly="0" labelOnly="1" outline="0" axis="axisRow" fieldPosition="0"/>
    </format>
    <format dxfId="162">
      <pivotArea dataOnly="0" labelOnly="1" grandCol="1" outline="0" fieldPosition="0"/>
    </format>
    <format dxfId="161">
      <pivotArea dataOnly="0" labelOnly="1" grandRow="1" outline="0" fieldPosition="0"/>
    </format>
    <format dxfId="160">
      <pivotArea grandRow="1" grandCol="1" outline="0" collapsedLevelsAreSubtotals="1" fieldPosition="0"/>
    </format>
    <format dxfId="159">
      <pivotArea dataOnly="0" labelOnly="1" grandRow="1" outline="0" fieldPosition="0"/>
    </format>
    <format dxfId="158">
      <pivotArea grandRow="1" grandCol="1" outline="0" collapsedLevelsAreSubtotals="1" fieldPosition="0"/>
    </format>
    <format dxfId="157">
      <pivotArea dataOnly="0" labelOnly="1" grandRow="1" outline="0" fieldPosition="0"/>
    </format>
    <format dxfId="156">
      <pivotArea grandRow="1" grandCol="1" outline="0" collapsedLevelsAreSubtotals="1" fieldPosition="0"/>
    </format>
    <format dxfId="155">
      <pivotArea dataOnly="0" labelOnly="1" grandRow="1" outline="0" fieldPosition="0"/>
    </format>
    <format dxfId="154">
      <pivotArea grandRow="1" grandCol="1" outline="0" collapsedLevelsAreSubtotals="1" fieldPosition="0"/>
    </format>
    <format dxfId="153">
      <pivotArea dataOnly="0" labelOnly="1" grandRow="1" outline="0" fieldPosition="0"/>
    </format>
    <format dxfId="152">
      <pivotArea grandRow="1" grandCol="1" outline="0" collapsedLevelsAreSubtotals="1" fieldPosition="0"/>
    </format>
    <format dxfId="151">
      <pivotArea dataOnly="0" labelOnly="1" grandRow="1" outline="0" fieldPosition="0"/>
    </format>
    <format dxfId="150">
      <pivotArea grandRow="1" grandCol="1" outline="0" collapsedLevelsAreSubtotals="1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type="topRight" dataOnly="0" labelOnly="1" outline="0" fieldPosition="0"/>
    </format>
    <format dxfId="145">
      <pivotArea field="0" type="button" dataOnly="0" labelOnly="1" outline="0" axis="axisRow" fieldPosition="0"/>
    </format>
    <format dxfId="14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42">
      <pivotArea dataOnly="0" labelOnly="1" grandRow="1" outline="0" fieldPosition="0"/>
    </format>
    <format dxfId="141">
      <pivotArea dataOnly="0" labelOnly="1" grandCol="1" outline="0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type="topRight" dataOnly="0" labelOnly="1" outline="0" fieldPosition="0"/>
    </format>
    <format dxfId="136">
      <pivotArea field="0" type="button" dataOnly="0" labelOnly="1" outline="0" axis="axisRow" fieldPosition="0"/>
    </format>
    <format dxfId="13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4">
      <pivotArea dataOnly="0" labelOnly="1" fieldPosition="0">
        <references count="1">
          <reference field="0" count="2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133">
      <pivotArea dataOnly="0" labelOnly="1" grandRow="1" outline="0" fieldPosition="0"/>
    </format>
    <format dxfId="132">
      <pivotArea dataOnly="0" labelOnly="1" grandCol="1" outline="0" fieldPosition="0"/>
    </format>
    <format dxfId="131">
      <pivotArea dataOnly="0" labelOnly="1" fieldPosition="0">
        <references count="1">
          <reference field="0" count="1">
            <x v="7"/>
          </reference>
        </references>
      </pivotArea>
    </format>
    <format dxfId="130">
      <pivotArea outline="0" collapsedLevelsAreSubtotals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type="topRight" dataOnly="0" labelOnly="1" outline="0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35">
            <x v="0"/>
            <x v="1"/>
            <x v="6"/>
            <x v="7"/>
            <x v="10"/>
            <x v="14"/>
            <x v="16"/>
            <x v="17"/>
            <x v="18"/>
            <x v="19"/>
            <x v="20"/>
            <x v="21"/>
            <x v="23"/>
            <x v="24"/>
            <x v="25"/>
            <x v="31"/>
            <x v="33"/>
            <x v="35"/>
            <x v="36"/>
            <x v="37"/>
            <x v="39"/>
            <x v="45"/>
            <x v="47"/>
            <x v="48"/>
            <x v="49"/>
            <x v="50"/>
            <x v="55"/>
            <x v="56"/>
            <x v="57"/>
            <x v="59"/>
            <x v="61"/>
            <x v="66"/>
            <x v="67"/>
            <x v="71"/>
            <x v="72"/>
          </reference>
        </references>
      </pivotArea>
    </format>
    <format dxfId="123">
      <pivotArea dataOnly="0" labelOnly="1" grandRow="1" outline="0" fieldPosition="0"/>
    </format>
    <format dxfId="122">
      <pivotArea dataOnly="0" labelOnly="1" grandCol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type="origin" dataOnly="0" labelOnly="1" outline="0" fieldPosition="0"/>
    </format>
    <format dxfId="118">
      <pivotArea type="topRight" dataOnly="0" labelOnly="1" outline="0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35">
            <x v="0"/>
            <x v="1"/>
            <x v="6"/>
            <x v="7"/>
            <x v="10"/>
            <x v="14"/>
            <x v="16"/>
            <x v="17"/>
            <x v="18"/>
            <x v="19"/>
            <x v="20"/>
            <x v="21"/>
            <x v="23"/>
            <x v="24"/>
            <x v="25"/>
            <x v="31"/>
            <x v="33"/>
            <x v="35"/>
            <x v="36"/>
            <x v="37"/>
            <x v="39"/>
            <x v="45"/>
            <x v="47"/>
            <x v="48"/>
            <x v="49"/>
            <x v="50"/>
            <x v="55"/>
            <x v="56"/>
            <x v="57"/>
            <x v="59"/>
            <x v="61"/>
            <x v="66"/>
            <x v="67"/>
            <x v="71"/>
            <x v="72"/>
          </reference>
        </references>
      </pivotArea>
    </format>
    <format dxfId="115">
      <pivotArea dataOnly="0" labelOnly="1" grandRow="1" outline="0" fieldPosition="0"/>
    </format>
    <format dxfId="114">
      <pivotArea dataOnly="0" labelOnly="1" grandCol="1" outline="0" fieldPosition="0"/>
    </format>
    <format dxfId="113">
      <pivotArea field="1" dataOnly="0" grandRow="1" axis="axisPage" fieldPosition="0">
        <references count="1">
          <reference field="1" count="1" selected="0">
            <x v="0"/>
          </reference>
        </references>
      </pivotArea>
    </format>
    <format dxfId="112">
      <pivotArea field="1" dataOnly="0" grandRow="1" axis="axisPage" fieldPosition="0">
        <references count="1">
          <reference field="1" count="1" selected="0">
            <x v="0"/>
          </reference>
        </references>
      </pivotArea>
    </format>
    <format dxfId="111">
      <pivotArea outline="0" collapsedLevelsAreSubtotals="1" fieldPosition="0"/>
    </format>
    <format dxfId="110">
      <pivotArea outline="0" collapsedLevelsAreSubtotals="1" fieldPosition="0"/>
    </format>
    <format dxfId="109">
      <pivotArea outline="0" collapsedLevelsAreSubtotals="1" fieldPosition="0"/>
    </format>
    <format dxfId="108">
      <pivotArea dataOnly="0" labelOnly="1" fieldPosition="0">
        <references count="1">
          <reference field="0" count="1">
            <x v="8"/>
          </reference>
        </references>
      </pivotArea>
    </format>
    <format dxfId="107">
      <pivotArea outline="0" collapsedLevelsAreSubtotals="1" fieldPosition="0"/>
    </format>
    <format dxfId="106">
      <pivotArea outline="0" fieldPosition="0">
        <references count="1">
          <reference field="4294967294" count="1">
            <x v="0"/>
          </reference>
        </references>
      </pivotArea>
    </format>
    <format dxfId="105">
      <pivotArea outline="0" collapsedLevelsAreSubtotals="1" fieldPosition="0"/>
    </format>
    <format dxfId="104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Meeting days" colHeaderCaption="Attendance">
  <location ref="I4:N17" firstHeaderRow="1" firstDataRow="2" firstDataCol="1"/>
  <pivotFields count="8">
    <pivotField showAll="0"/>
    <pivotField showAll="0"/>
    <pivotField showAll="0"/>
    <pivotField showAll="0"/>
    <pivotField showAll="0"/>
    <pivotField showAll="0"/>
    <pivotField axis="axisRow" showAll="0" defaultSubtotal="0">
      <items count="11">
        <item x="9"/>
        <item x="10"/>
        <item x="8"/>
        <item x="5"/>
        <item x="6"/>
        <item x="7"/>
        <item x="4"/>
        <item x="0"/>
        <item x="1"/>
        <item x="2"/>
        <item x="3"/>
      </items>
    </pivotField>
    <pivotField axis="axisCol" dataField="1" showAll="0" defaultSubtotal="0">
      <items count="4">
        <item x="2"/>
        <item x="3"/>
        <item x="0"/>
        <item x="1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alue" fld="7" subtotal="count" showDataAs="percentOfRow" baseField="6" baseItem="0" numFmtId="10"/>
  </dataFields>
  <formats count="10">
    <format dxfId="181">
      <pivotArea outline="0" collapsedLevelsAreSubtotals="1" fieldPosition="0"/>
    </format>
    <format dxfId="180">
      <pivotArea outline="0" collapsedLevelsAreSubtotals="1" fieldPosition="0"/>
    </format>
    <format dxfId="179">
      <pivotArea dataOnly="0" grandRow="1" fieldPosition="0"/>
    </format>
    <format dxfId="178">
      <pivotArea dataOnly="0" grandRow="1" fieldPosition="0"/>
    </format>
    <format dxfId="177">
      <pivotArea dataOnly="0" labelOnly="1" grandCol="1" outline="0" fieldPosition="0"/>
    </format>
    <format dxfId="176">
      <pivotArea dataOnly="0" labelOnly="1" grandCol="1" outline="0" fieldPosition="0"/>
    </format>
    <format dxfId="175">
      <pivotArea type="origin" dataOnly="0" labelOnly="1" outline="0" fieldPosition="0"/>
    </format>
    <format dxfId="174">
      <pivotArea type="origin" dataOnly="0" labelOnly="1" outline="0" fieldPosition="0"/>
    </format>
    <format dxfId="173">
      <pivotArea outline="0" collapsedLevelsAreSubtotals="1" fieldPosition="0"/>
    </format>
    <format dxfId="172">
      <pivotArea outline="0" fieldPosition="0">
        <references count="1">
          <reference field="4294967294" count="1">
            <x v="0"/>
          </reference>
        </references>
      </pivotArea>
    </format>
  </formats>
  <chartFormats count="20">
    <chartFormat chart="0" format="8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Fine Status" colHeaderCaption="Gender">
  <location ref="A3:E7" firstHeaderRow="0" firstDataRow="1" firstDataCol="1" rowPageCount="1" colPageCount="1"/>
  <pivotFields count="20">
    <pivotField dataField="1"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66" showAll="0"/>
    <pivotField dataField="1" numFmtId="166" showAll="0"/>
    <pivotField dataField="1" showAll="0"/>
    <pivotField numFmtId="166" showAll="0" defaultSubtotal="0"/>
    <pivotField showAll="0" defaultSubtotal="0"/>
    <pivotField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Members count" fld="0" subtotal="count" baseField="0" baseItem="0"/>
    <dataField name="Late amount" fld="14" baseField="0" baseItem="0" numFmtId="166"/>
    <dataField name="Excused Absence amount" fld="15" baseField="0" baseItem="0" numFmtId="166"/>
    <dataField name="Unexcused absence amount" fld="16" baseField="13" baseItem="0" numFmtId="166"/>
  </dataFields>
  <formats count="42">
    <format dxfId="82">
      <pivotArea field="13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0">
      <pivotArea field="13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8">
      <pivotArea grandRow="1" outline="0" collapsedLevelsAreSubtotals="1" fieldPosition="0"/>
    </format>
    <format dxfId="77">
      <pivotArea dataOnly="0" labelOnly="1" grandRow="1" outline="0" fieldPosition="0"/>
    </format>
    <format dxfId="7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5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4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3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2">
      <pivotArea field="1" dataOnly="0" labelOnly="1" outline="0" offset="IV1" axis="axisPage" fieldPosition="0">
        <references count="1">
          <reference field="4294967294" count="1" selected="0">
            <x v="0"/>
          </reference>
        </references>
      </pivotArea>
    </format>
    <format dxfId="71">
      <pivotArea field="1" dataOnly="0" labelOnly="1" outline="0" offset="IV1" axis="axisPage" fieldPosition="0">
        <references count="1">
          <reference field="4294967294" count="1" selected="0">
            <x v="1"/>
          </reference>
        </references>
      </pivotArea>
    </format>
    <format dxfId="70">
      <pivotArea field="1" dataOnly="0" labelOnly="1" outline="0" offset="IV1" axis="axisPage" fieldPosition="0">
        <references count="1">
          <reference field="4294967294" count="1" selected="0">
            <x v="2"/>
          </reference>
        </references>
      </pivotArea>
    </format>
    <format dxfId="69">
      <pivotArea field="1" dataOnly="0" labelOnly="1" outline="0" offset="IV1" axis="axisPage" fieldPosition="0">
        <references count="1">
          <reference field="4294967294" count="1" selected="0">
            <x v="3"/>
          </reference>
        </references>
      </pivotArea>
    </format>
    <format dxfId="68">
      <pivotArea field="1" dataOnly="0" labelOnly="1" outline="0" offset="IV1" axis="axisPage" fieldPosition="0">
        <references count="1">
          <reference field="4294967294" count="1" selected="0">
            <x v="0"/>
          </reference>
        </references>
      </pivotArea>
    </format>
    <format dxfId="67">
      <pivotArea field="1" dataOnly="0" labelOnly="1" outline="0" offset="IV1" axis="axisPage" fieldPosition="0">
        <references count="1">
          <reference field="4294967294" count="1" selected="0">
            <x v="1"/>
          </reference>
        </references>
      </pivotArea>
    </format>
    <format dxfId="66">
      <pivotArea field="1" dataOnly="0" labelOnly="1" outline="0" offset="IV1" axis="axisPage" fieldPosition="0">
        <references count="1">
          <reference field="4294967294" count="1" selected="0">
            <x v="2"/>
          </reference>
        </references>
      </pivotArea>
    </format>
    <format dxfId="65">
      <pivotArea field="1" dataOnly="0" labelOnly="1" outline="0" offset="IV1" axis="axisPage" fieldPosition="0">
        <references count="1">
          <reference field="4294967294" count="1" selected="0">
            <x v="3"/>
          </reference>
        </references>
      </pivotArea>
    </format>
    <format dxfId="64">
      <pivotArea field="1" dataOnly="0" labelOnly="1" outline="0" offset="IV1" axis="axisPage" fieldPosition="0">
        <references count="1">
          <reference field="4294967294" count="1" selected="0">
            <x v="0"/>
          </reference>
        </references>
      </pivotArea>
    </format>
    <format dxfId="63">
      <pivotArea field="1" dataOnly="0" labelOnly="1" outline="0" offset="IV1" axis="axisPage" fieldPosition="0">
        <references count="1">
          <reference field="4294967294" count="1" selected="0">
            <x v="1"/>
          </reference>
        </references>
      </pivotArea>
    </format>
    <format dxfId="62">
      <pivotArea field="1" dataOnly="0" labelOnly="1" outline="0" offset="IV1" axis="axisPage" fieldPosition="0">
        <references count="1">
          <reference field="4294967294" count="1" selected="0">
            <x v="2"/>
          </reference>
        </references>
      </pivotArea>
    </format>
    <format dxfId="61">
      <pivotArea field="1" dataOnly="0" labelOnly="1" outline="0" offset="IV1" axis="axisPage" fieldPosition="0">
        <references count="1">
          <reference field="4294967294" count="1" selected="0">
            <x v="3"/>
          </reference>
        </references>
      </pivotArea>
    </format>
    <format dxfId="60">
      <pivotArea field="1" dataOnly="0" labelOnly="1" outline="0" offset="IV1" axis="axisPage" fieldPosition="0">
        <references count="1">
          <reference field="4294967294" count="1" selected="0">
            <x v="0"/>
          </reference>
        </references>
      </pivotArea>
    </format>
    <format dxfId="59">
      <pivotArea field="1" dataOnly="0" labelOnly="1" outline="0" offset="IV1" axis="axisPage" fieldPosition="0">
        <references count="1">
          <reference field="4294967294" count="1" selected="0">
            <x v="1"/>
          </reference>
        </references>
      </pivotArea>
    </format>
    <format dxfId="58">
      <pivotArea field="1" dataOnly="0" labelOnly="1" outline="0" offset="IV1" axis="axisPage" fieldPosition="0">
        <references count="1">
          <reference field="4294967294" count="1" selected="0">
            <x v="2"/>
          </reference>
        </references>
      </pivotArea>
    </format>
    <format dxfId="57">
      <pivotArea field="1" dataOnly="0" labelOnly="1" outline="0" offset="IV1" axis="axisPage" fieldPosition="0">
        <references count="1">
          <reference field="4294967294" count="1" selected="0">
            <x v="3"/>
          </reference>
        </references>
      </pivotArea>
    </format>
    <format dxfId="56">
      <pivotArea field="1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55">
      <pivotArea field="1" dataOnly="0" labelOnly="1" outline="0" axis="axisPage" fieldPosition="0">
        <references count="1">
          <reference field="4294967294" count="1" selected="0">
            <x v="1"/>
          </reference>
        </references>
      </pivotArea>
    </format>
    <format dxfId="54">
      <pivotArea field="1" dataOnly="0" labelOnly="1" outline="0" axis="axisPage" fieldPosition="0">
        <references count="1">
          <reference field="4294967294" count="1" selected="0">
            <x v="2"/>
          </reference>
        </references>
      </pivotArea>
    </format>
    <format dxfId="53">
      <pivotArea field="1" dataOnly="0" labelOnly="1" outline="0" axis="axisPage" fieldPosition="0">
        <references count="1">
          <reference field="4294967294" count="1" selected="0">
            <x v="3"/>
          </reference>
        </references>
      </pivotArea>
    </format>
    <format dxfId="52">
      <pivotArea field="1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51">
      <pivotArea field="1" dataOnly="0" labelOnly="1" outline="0" axis="axisPage" fieldPosition="0">
        <references count="1">
          <reference field="4294967294" count="1" selected="0">
            <x v="1"/>
          </reference>
        </references>
      </pivotArea>
    </format>
    <format dxfId="50">
      <pivotArea field="1" dataOnly="0" labelOnly="1" outline="0" axis="axisPage" fieldPosition="0">
        <references count="1">
          <reference field="4294967294" count="1" selected="0">
            <x v="2"/>
          </reference>
        </references>
      </pivotArea>
    </format>
    <format dxfId="49">
      <pivotArea field="1" dataOnly="0" labelOnly="1" outline="0" axis="axisPage" fieldPosition="0">
        <references count="1">
          <reference field="4294967294" count="1" selected="0">
            <x v="3"/>
          </reference>
        </references>
      </pivotArea>
    </format>
    <format dxfId="48">
      <pivotArea field="1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47">
      <pivotArea field="1" dataOnly="0" labelOnly="1" outline="0" axis="axisPage" fieldPosition="0">
        <references count="1">
          <reference field="4294967294" count="1" selected="0">
            <x v="1"/>
          </reference>
        </references>
      </pivotArea>
    </format>
    <format dxfId="46">
      <pivotArea field="1" dataOnly="0" labelOnly="1" outline="0" axis="axisPage" fieldPosition="0">
        <references count="1">
          <reference field="4294967294" count="1" selected="0">
            <x v="2"/>
          </reference>
        </references>
      </pivotArea>
    </format>
    <format dxfId="45">
      <pivotArea field="1" dataOnly="0" labelOnly="1" outline="0" axis="axisPage" fieldPosition="0">
        <references count="1">
          <reference field="4294967294" count="1" selected="0">
            <x v="3"/>
          </reference>
        </references>
      </pivotArea>
    </format>
    <format dxfId="44">
      <pivotArea field="1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43">
      <pivotArea field="1" dataOnly="0" labelOnly="1" outline="0" axis="axisPage" fieldPosition="0">
        <references count="1">
          <reference field="4294967294" count="1" selected="0">
            <x v="1"/>
          </reference>
        </references>
      </pivotArea>
    </format>
    <format dxfId="42">
      <pivotArea field="1" dataOnly="0" labelOnly="1" outline="0" axis="axisPage" fieldPosition="0">
        <references count="1">
          <reference field="4294967294" count="1" selected="0">
            <x v="2"/>
          </reference>
        </references>
      </pivotArea>
    </format>
    <format dxfId="41">
      <pivotArea field="1" dataOnly="0" labelOnly="1" outline="0" axis="axisPage" fieldPosition="0">
        <references count="1">
          <reference field="4294967294" count="1" selected="0">
            <x v="3"/>
          </reference>
        </references>
      </pivotArea>
    </format>
  </formats>
  <chartFormats count="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I39" firstHeaderRow="0" firstDataRow="1" firstDataCol="1" rowPageCount="2" colPageCount="1"/>
  <pivotFields count="20">
    <pivotField axis="axisRow" showAll="0" sortType="descending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dataField="1" numFmtId="166" showAll="0"/>
    <pivotField numFmtId="166" showAll="0"/>
    <pivotField dataField="1" numFmtId="166" showAll="0"/>
    <pivotField numFmtId="166" showAll="0" defaultSubtotal="0"/>
    <pivotField showAll="0" defaultSubtotal="0"/>
    <pivotField showAll="0" defaultSubtotal="0"/>
  </pivotFields>
  <rowFields count="1">
    <field x="0"/>
  </rowFields>
  <rowItems count="35">
    <i>
      <x v="5"/>
    </i>
    <i>
      <x v="18"/>
    </i>
    <i>
      <x v="48"/>
    </i>
    <i>
      <x v="60"/>
    </i>
    <i>
      <x v="38"/>
    </i>
    <i>
      <x v="51"/>
    </i>
    <i>
      <x v="53"/>
    </i>
    <i>
      <x v="26"/>
    </i>
    <i>
      <x v="68"/>
    </i>
    <i>
      <x v="32"/>
    </i>
    <i>
      <x v="41"/>
    </i>
    <i>
      <x v="54"/>
    </i>
    <i>
      <x v="31"/>
    </i>
    <i>
      <x v="62"/>
    </i>
    <i>
      <x v="39"/>
    </i>
    <i>
      <x v="3"/>
    </i>
    <i>
      <x v="40"/>
    </i>
    <i>
      <x v="61"/>
    </i>
    <i>
      <x v="42"/>
    </i>
    <i>
      <x v="65"/>
    </i>
    <i>
      <x v="19"/>
    </i>
    <i>
      <x v="71"/>
    </i>
    <i>
      <x v="70"/>
    </i>
    <i>
      <x v="4"/>
    </i>
    <i>
      <x v="69"/>
    </i>
    <i>
      <x v="9"/>
    </i>
    <i>
      <x v="64"/>
    </i>
    <i>
      <x v="43"/>
    </i>
    <i>
      <x v="29"/>
    </i>
    <i>
      <x v="28"/>
    </i>
    <i>
      <x v="2"/>
    </i>
    <i>
      <x v="47"/>
    </i>
    <i>
      <x v="50"/>
    </i>
    <i>
      <x v="25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13" item="2" hier="-1"/>
  </pageFields>
  <dataFields count="2">
    <dataField name="Sum of Late" fld="14" baseField="0" baseItem="0"/>
    <dataField name="Sum of Unexcused Absence" fld="16" baseField="0" baseItem="0"/>
  </dataFields>
  <formats count="19">
    <format dxfId="101">
      <pivotArea field="0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">
      <pivotArea field="0" type="button" dataOnly="0" labelOnly="1" outline="0" axis="axisRow" fieldPosition="0"/>
    </format>
    <format dxfId="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7">
      <pivotArea field="0" type="button" dataOnly="0" labelOnly="1" outline="0" axis="axisRow" fieldPosition="0"/>
    </format>
    <format dxfId="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">
      <pivotArea field="0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field="0" type="button" dataOnly="0" labelOnly="1" outline="0" axis="axisRow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field="0" type="button" dataOnly="0" labelOnly="1" outline="0" axis="axisRow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outline="0" collapsedLevelsAreSubtotals="1" fieldPosition="0"/>
    </format>
    <format dxfId="86">
      <pivotArea outline="0" collapsedLevelsAreSubtotals="1" fieldPosition="0"/>
    </format>
    <format dxfId="85">
      <pivotArea outline="0" collapsedLevelsAreSubtotals="1" fieldPosition="0"/>
    </format>
    <format dxfId="84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type="all"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embers">
  <location ref="A3:C77" firstHeaderRow="0" firstDataRow="1" firstDataCol="1" rowPageCount="1" colPageCount="1"/>
  <pivotFields count="20">
    <pivotField axis="axisRow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dataField="1" numFmtId="166" showAll="0"/>
    <pivotField dataField="1" showAll="0" defaultSubtotal="0"/>
    <pivotField showAll="0" defaultSubtota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 Fine" fld="17" baseField="0" baseItem="0"/>
    <dataField name="Unexcused Absences" fld="18" baseField="0" baseItem="0"/>
  </dataFields>
  <formats count="14"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field="1" type="button" dataOnly="0" labelOnly="1" outline="0" axis="axisPage" fieldPosition="0"/>
    </format>
    <format dxfId="12">
      <pivotArea field="1" type="button" dataOnly="0" labelOnly="1" outline="0" axis="axisPage" fieldPosition="0"/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ender" colHeaderCaption="Unexcused absences?">
  <location ref="E8:H12" firstHeaderRow="1" firstDataRow="2" firstDataCol="1"/>
  <pivotFields count="2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showAll="0"/>
    <pivotField axis="axisCol" showAll="0" defaultSubtotal="0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Number of members" fld="0" subtotal="count" baseField="0" baseItem="0"/>
  </dataFields>
  <formats count="15">
    <format dxfId="40">
      <pivotArea type="origin" dataOnly="0" labelOnly="1" outline="0" fieldPosition="0"/>
    </format>
    <format dxfId="39">
      <pivotArea field="19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9" count="0"/>
        </references>
      </pivotArea>
    </format>
    <format dxfId="35">
      <pivotArea dataOnly="0" labelOnly="1" grandCol="1" outline="0" fieldPosition="0"/>
    </format>
    <format dxfId="34">
      <pivotArea type="origin" dataOnly="0" labelOnly="1" outline="0" fieldPosition="0"/>
    </format>
    <format dxfId="33">
      <pivotArea field="19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9" count="0"/>
        </references>
      </pivotArea>
    </format>
    <format dxfId="29">
      <pivotArea dataOnly="0" labelOnly="1" grandCol="1" outline="0" fieldPosition="0"/>
    </format>
    <format dxfId="28">
      <pivotArea dataOnly="0" grandRow="1" axis="axisRow" fieldPosition="0"/>
    </format>
    <format dxfId="27">
      <pivotArea type="topRight" dataOnly="0" labelOnly="1" outline="0" fieldPosition="0"/>
    </format>
    <format dxfId="26">
      <pivotArea type="topRight" dataOnly="0" labelOnly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Members" tableColumnId="97"/>
      <queryTableField id="2" name="Gender" tableColumnId="98"/>
      <queryTableField id="3" name="Status" tableColumnId="99"/>
      <queryTableField id="4" name="Late" tableColumnId="100"/>
      <queryTableField id="5" name="Excused Absence" tableColumnId="101"/>
      <queryTableField id="6" name="Unexcused Absence" tableColumnId="102"/>
      <queryTableField id="7" name="Attribute" tableColumnId="103"/>
      <queryTableField id="8" name="Value" tableColumnId="10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_2" displayName="Table_2" ref="A4:V77" headerRowCount="0">
  <tableColumns count="2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</tableColumns>
  <tableStyleInfo name="Quarter 2 26.2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4" name="Table4" displayName="Table4" ref="A1:T74" totalsRowShown="0" headerRowDxfId="209" tableBorderDxfId="208">
  <autoFilter ref="A1:T74"/>
  <sortState ref="A2:S74">
    <sortCondition ref="A1:A74"/>
  </sortState>
  <tableColumns count="20">
    <tableColumn id="1" name="Members" dataDxfId="207"/>
    <tableColumn id="17" name="Gender"/>
    <tableColumn id="2" name="May 10th" dataDxfId="206"/>
    <tableColumn id="3" name="May 17th" dataDxfId="205"/>
    <tableColumn id="4" name="May 24th" dataDxfId="204"/>
    <tableColumn id="5" name="May 31st" dataDxfId="203"/>
    <tableColumn id="6" name="June 7th"/>
    <tableColumn id="7" name="June 14th" dataDxfId="202"/>
    <tableColumn id="8" name="June 21st" dataDxfId="201"/>
    <tableColumn id="9" name="June 28th" dataDxfId="200"/>
    <tableColumn id="10" name="July 5th" dataDxfId="199"/>
    <tableColumn id="11" name="July 12th" dataDxfId="198"/>
    <tableColumn id="12" name="July 19th" dataDxfId="197"/>
    <tableColumn id="13" name="Status" dataDxfId="196"/>
    <tableColumn id="14" name="Late" dataDxfId="195" dataCellStyle="Currency"/>
    <tableColumn id="15" name="Excused Absence" dataDxfId="194" dataCellStyle="Currency"/>
    <tableColumn id="16" name="Unexcused Absence" dataDxfId="193" dataCellStyle="Currency"/>
    <tableColumn id="18" name="Amount" dataDxfId="192" dataCellStyle="Currency">
      <calculatedColumnFormula>Table4[[#This Row],[Late]]+Table4[[#This Row],[Excused Absence]]+Table4[[#This Row],[Unexcused Absence]]</calculatedColumnFormula>
    </tableColumn>
    <tableColumn id="19" name="Unexcused Absence count" dataDxfId="191" dataCellStyle="Currency"/>
    <tableColumn id="20" name="Has Unexcused?" dataDxfId="190" dataCellStyle="Curr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4_2" displayName="Table4_2" ref="A1:H1022" tableType="queryTable" totalsRowShown="0">
  <autoFilter ref="A1:H1022"/>
  <tableColumns count="8">
    <tableColumn id="97" uniqueName="97" name="Members" queryTableFieldId="1" dataDxfId="189"/>
    <tableColumn id="98" uniqueName="98" name="Gender" queryTableFieldId="2" dataDxfId="188"/>
    <tableColumn id="99" uniqueName="99" name="Status" queryTableFieldId="3" dataDxfId="187"/>
    <tableColumn id="100" uniqueName="100" name="Late" queryTableFieldId="4" dataDxfId="186"/>
    <tableColumn id="101" uniqueName="101" name="Excused Absence" queryTableFieldId="5" dataDxfId="185"/>
    <tableColumn id="102" uniqueName="102" name="Unexcused Absence" queryTableFieldId="6" dataDxfId="184"/>
    <tableColumn id="103" uniqueName="103" name="Attribute" queryTableFieldId="7" dataDxfId="183"/>
    <tableColumn id="104" uniqueName="104" name="Value" queryTableFieldId="8" dataDxfId="18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P5:R78" totalsRowShown="0">
  <autoFilter ref="P5:R78"/>
  <tableColumns count="3">
    <tableColumn id="1" name="Statistics"/>
    <tableColumn id="2" name="Column1" dataDxfId="103">
      <calculatedColumnFormula>D3:D75</calculatedColumnFormula>
    </tableColumn>
    <tableColumn id="3" name="Outlier?" dataDxfId="102">
      <calculatedColumnFormula>IF(ABS(D5-$Q$6)&gt;1.5*$Q$9,"Yes","No")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showGridLines="0" topLeftCell="A8" workbookViewId="0">
      <selection activeCell="E13" sqref="E13"/>
    </sheetView>
  </sheetViews>
  <sheetFormatPr defaultRowHeight="12.75"/>
  <cols>
    <col min="1" max="1" width="3" style="193" customWidth="1"/>
    <col min="2" max="2" width="67.5703125" style="193" bestFit="1" customWidth="1"/>
    <col min="3" max="3" width="78.85546875" style="193" bestFit="1" customWidth="1"/>
    <col min="4" max="4" width="32" style="193" customWidth="1"/>
    <col min="5" max="16384" width="9.140625" style="193"/>
  </cols>
  <sheetData>
    <row r="2" spans="2:7" ht="20.25">
      <c r="B2" s="191" t="s">
        <v>155</v>
      </c>
      <c r="C2" s="192"/>
      <c r="D2" s="192"/>
      <c r="E2" s="192"/>
      <c r="F2" s="192"/>
      <c r="G2" s="192"/>
    </row>
    <row r="3" spans="2:7">
      <c r="B3" s="192"/>
      <c r="C3" s="192"/>
      <c r="D3" s="192"/>
      <c r="E3" s="192"/>
      <c r="F3" s="192"/>
      <c r="G3" s="192"/>
    </row>
    <row r="4" spans="2:7" ht="30" customHeight="1">
      <c r="B4" s="197" t="s">
        <v>156</v>
      </c>
      <c r="C4" s="198"/>
      <c r="D4" s="198"/>
      <c r="E4" s="198"/>
      <c r="F4" s="198"/>
      <c r="G4" s="198"/>
    </row>
    <row r="5" spans="2:7">
      <c r="B5" s="192"/>
      <c r="C5" s="192"/>
      <c r="D5" s="192"/>
      <c r="E5" s="192"/>
      <c r="F5" s="192"/>
      <c r="G5" s="192"/>
    </row>
    <row r="6" spans="2:7" ht="15">
      <c r="B6" s="196" t="s">
        <v>157</v>
      </c>
      <c r="C6" s="196" t="s">
        <v>158</v>
      </c>
      <c r="D6" s="196" t="s">
        <v>159</v>
      </c>
      <c r="E6" s="192"/>
      <c r="F6" s="192"/>
      <c r="G6" s="192"/>
    </row>
    <row r="7" spans="2:7" ht="45" customHeight="1">
      <c r="B7" s="194" t="s">
        <v>160</v>
      </c>
      <c r="C7" s="195" t="s">
        <v>161</v>
      </c>
      <c r="D7" s="195" t="s">
        <v>162</v>
      </c>
      <c r="E7" s="192"/>
      <c r="F7" s="192"/>
      <c r="G7" s="192"/>
    </row>
    <row r="8" spans="2:7" ht="45" customHeight="1">
      <c r="B8" s="194" t="s">
        <v>163</v>
      </c>
      <c r="C8" s="195" t="s">
        <v>164</v>
      </c>
      <c r="D8" s="195" t="s">
        <v>165</v>
      </c>
      <c r="E8" s="192"/>
      <c r="F8" s="192"/>
      <c r="G8" s="192"/>
    </row>
    <row r="9" spans="2:7" ht="45" customHeight="1">
      <c r="B9" s="194" t="s">
        <v>166</v>
      </c>
      <c r="C9" s="195" t="s">
        <v>164</v>
      </c>
      <c r="D9" s="195" t="s">
        <v>165</v>
      </c>
      <c r="E9" s="192"/>
      <c r="F9" s="192"/>
      <c r="G9" s="192"/>
    </row>
    <row r="10" spans="2:7" ht="45" customHeight="1">
      <c r="B10" s="194" t="s">
        <v>167</v>
      </c>
      <c r="C10" s="195" t="s">
        <v>168</v>
      </c>
      <c r="D10" s="195" t="s">
        <v>169</v>
      </c>
      <c r="E10" s="192"/>
      <c r="F10" s="192"/>
      <c r="G10" s="192"/>
    </row>
    <row r="11" spans="2:7" ht="45" customHeight="1">
      <c r="B11" s="194" t="s">
        <v>170</v>
      </c>
      <c r="C11" s="195" t="s">
        <v>171</v>
      </c>
      <c r="D11" s="195" t="s">
        <v>172</v>
      </c>
      <c r="E11" s="192"/>
      <c r="F11" s="192"/>
      <c r="G11" s="192"/>
    </row>
    <row r="12" spans="2:7" ht="45" customHeight="1">
      <c r="B12" s="194" t="s">
        <v>173</v>
      </c>
      <c r="C12" s="195" t="s">
        <v>174</v>
      </c>
      <c r="D12" s="195" t="s">
        <v>175</v>
      </c>
      <c r="E12" s="192"/>
      <c r="F12" s="192"/>
      <c r="G12" s="192"/>
    </row>
    <row r="13" spans="2:7" ht="45" customHeight="1">
      <c r="B13" s="194" t="s">
        <v>176</v>
      </c>
      <c r="C13" s="195" t="s">
        <v>177</v>
      </c>
      <c r="D13" s="195" t="s">
        <v>178</v>
      </c>
      <c r="E13" s="192"/>
      <c r="F13" s="192"/>
      <c r="G13" s="192"/>
    </row>
    <row r="14" spans="2:7" ht="45" customHeight="1">
      <c r="B14" s="194"/>
      <c r="C14" s="195"/>
      <c r="D14" s="195"/>
      <c r="E14" s="192"/>
      <c r="F14" s="192"/>
      <c r="G14" s="192"/>
    </row>
    <row r="15" spans="2:7">
      <c r="B15" s="192"/>
      <c r="C15" s="192"/>
      <c r="D15" s="192"/>
      <c r="E15" s="192"/>
      <c r="F15" s="192"/>
      <c r="G15" s="192"/>
    </row>
    <row r="16" spans="2:7" ht="39.950000000000003" customHeight="1">
      <c r="B16" s="199" t="s">
        <v>179</v>
      </c>
      <c r="C16" s="198"/>
      <c r="D16" s="198"/>
      <c r="E16" s="198"/>
      <c r="F16" s="198"/>
      <c r="G16" s="198"/>
    </row>
    <row r="17" spans="2:7">
      <c r="B17" s="192"/>
      <c r="C17" s="192"/>
      <c r="D17" s="192"/>
      <c r="E17" s="192"/>
      <c r="F17" s="192"/>
      <c r="G17" s="192"/>
    </row>
  </sheetData>
  <mergeCells count="2">
    <mergeCell ref="B4:G4"/>
    <mergeCell ref="B16:G1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6"/>
  <sheetViews>
    <sheetView showGridLines="0" workbookViewId="0">
      <selection activeCell="B7" sqref="B7"/>
    </sheetView>
  </sheetViews>
  <sheetFormatPr defaultColWidth="12.5703125" defaultRowHeight="15.75" customHeight="1"/>
  <cols>
    <col min="1" max="1" width="5.140625" customWidth="1"/>
    <col min="2" max="2" width="2.5703125" customWidth="1"/>
    <col min="3" max="3" width="45.140625" customWidth="1"/>
    <col min="4" max="4" width="5.140625" customWidth="1"/>
  </cols>
  <sheetData>
    <row r="1" spans="1:4" ht="36" customHeight="1">
      <c r="A1" s="1"/>
      <c r="B1" s="200" t="s">
        <v>0</v>
      </c>
      <c r="C1" s="201"/>
      <c r="D1" s="2"/>
    </row>
    <row r="2" spans="1:4" ht="36" customHeight="1">
      <c r="A2" s="3"/>
      <c r="B2" s="202" t="s">
        <v>1</v>
      </c>
      <c r="C2" s="203"/>
      <c r="D2" s="3"/>
    </row>
    <row r="3" spans="1:4" ht="24" customHeight="1">
      <c r="A3" s="4"/>
      <c r="B3" s="204" t="s">
        <v>2</v>
      </c>
      <c r="C3" s="201"/>
      <c r="D3" s="4"/>
    </row>
    <row r="4" spans="1:4" ht="36" customHeight="1">
      <c r="A4" s="5"/>
      <c r="B4" s="205" t="s">
        <v>3</v>
      </c>
      <c r="C4" s="201"/>
      <c r="D4" s="5"/>
    </row>
    <row r="5" spans="1:4" ht="18" customHeight="1">
      <c r="A5" s="6"/>
      <c r="B5" s="7"/>
      <c r="C5" s="6"/>
      <c r="D5" s="6"/>
    </row>
    <row r="6" spans="1:4" ht="24" customHeight="1">
      <c r="A6" s="6"/>
      <c r="B6" s="206" t="s">
        <v>1</v>
      </c>
      <c r="C6" s="201"/>
      <c r="D6" s="6"/>
    </row>
    <row r="7" spans="1:4" ht="19.5" customHeight="1">
      <c r="A7" s="8"/>
      <c r="B7" s="9" t="s">
        <v>4</v>
      </c>
      <c r="C7" s="10" t="s">
        <v>5</v>
      </c>
      <c r="D7" s="8"/>
    </row>
    <row r="8" spans="1:4" ht="19.5" customHeight="1">
      <c r="A8" s="8"/>
      <c r="B8" s="9" t="s">
        <v>6</v>
      </c>
      <c r="C8" s="10" t="s">
        <v>7</v>
      </c>
      <c r="D8" s="8"/>
    </row>
    <row r="9" spans="1:4" ht="19.5" customHeight="1">
      <c r="A9" s="8"/>
      <c r="B9" s="9" t="s">
        <v>8</v>
      </c>
      <c r="C9" s="10" t="s">
        <v>9</v>
      </c>
      <c r="D9" s="8"/>
    </row>
    <row r="10" spans="1:4" ht="19.5" customHeight="1">
      <c r="A10" s="8"/>
      <c r="B10" s="9" t="s">
        <v>10</v>
      </c>
      <c r="C10" s="10" t="s">
        <v>11</v>
      </c>
      <c r="D10" s="8"/>
    </row>
    <row r="11" spans="1:4" ht="19.5" customHeight="1">
      <c r="A11" s="8"/>
      <c r="B11" s="11"/>
      <c r="C11" s="10" t="s">
        <v>12</v>
      </c>
      <c r="D11" s="8"/>
    </row>
    <row r="12" spans="1:4" ht="19.5" customHeight="1">
      <c r="A12" s="8"/>
      <c r="B12" s="12"/>
      <c r="C12" s="10" t="s">
        <v>13</v>
      </c>
      <c r="D12" s="8"/>
    </row>
    <row r="13" spans="1:4" ht="19.5" customHeight="1">
      <c r="A13" s="8"/>
      <c r="B13" s="13"/>
      <c r="C13" s="10" t="s">
        <v>14</v>
      </c>
      <c r="D13" s="8"/>
    </row>
    <row r="14" spans="1:4" ht="19.5" customHeight="1">
      <c r="A14" s="8"/>
      <c r="B14" s="14"/>
      <c r="C14" s="10" t="s">
        <v>15</v>
      </c>
      <c r="D14" s="8"/>
    </row>
    <row r="15" spans="1:4" ht="19.5" customHeight="1">
      <c r="A15" s="8"/>
      <c r="B15" s="15"/>
      <c r="C15" s="10" t="s">
        <v>16</v>
      </c>
      <c r="D15" s="8"/>
    </row>
    <row r="16" spans="1:4" ht="19.5" hidden="1" customHeight="1">
      <c r="A16" s="8"/>
      <c r="B16" s="16"/>
      <c r="C16" s="8"/>
      <c r="D16" s="8"/>
    </row>
  </sheetData>
  <mergeCells count="5">
    <mergeCell ref="B1:C1"/>
    <mergeCell ref="B2:C2"/>
    <mergeCell ref="B3:C3"/>
    <mergeCell ref="B4:C4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59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defaultColWidth="12.5703125" defaultRowHeight="15.75" customHeight="1"/>
  <cols>
    <col min="1" max="1" width="2.140625" customWidth="1"/>
    <col min="2" max="2" width="24.85546875" customWidth="1"/>
    <col min="3" max="14" width="6.140625" customWidth="1"/>
    <col min="15" max="15" width="6.5703125" customWidth="1"/>
    <col min="16" max="19" width="6.140625" customWidth="1"/>
    <col min="20" max="22" width="9.42578125" customWidth="1"/>
  </cols>
  <sheetData>
    <row r="1" spans="1:22" ht="3" customHeight="1">
      <c r="A1" s="17"/>
      <c r="B1" s="17"/>
      <c r="C1" s="20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 xml:space="preserve">
  Enter P for Present, L for Late, E for Excused absence, and U for Unexcused absence. Use the 'Attendance key' tab to customize. 
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18"/>
      <c r="Q1" s="18"/>
      <c r="R1" s="18"/>
      <c r="S1" s="18"/>
      <c r="T1" s="18"/>
      <c r="U1" s="18"/>
      <c r="V1" s="18"/>
    </row>
    <row r="2" spans="1:22" ht="26.25" customHeight="1">
      <c r="A2" s="19"/>
      <c r="B2" s="20" t="s">
        <v>23</v>
      </c>
      <c r="C2" s="21">
        <v>46145</v>
      </c>
      <c r="D2" s="21">
        <f t="shared" ref="D2:F2" si="0">C2+7</f>
        <v>46152</v>
      </c>
      <c r="E2" s="21">
        <f t="shared" si="0"/>
        <v>46159</v>
      </c>
      <c r="F2" s="21">
        <f t="shared" si="0"/>
        <v>46166</v>
      </c>
      <c r="G2" s="21">
        <v>46173</v>
      </c>
      <c r="H2" s="21">
        <f t="shared" ref="H2:M2" si="1">G2+7</f>
        <v>46180</v>
      </c>
      <c r="I2" s="21">
        <f t="shared" si="1"/>
        <v>46187</v>
      </c>
      <c r="J2" s="21">
        <f t="shared" si="1"/>
        <v>46194</v>
      </c>
      <c r="K2" s="21">
        <f t="shared" si="1"/>
        <v>46201</v>
      </c>
      <c r="L2" s="21">
        <f t="shared" si="1"/>
        <v>46208</v>
      </c>
      <c r="M2" s="21">
        <f t="shared" si="1"/>
        <v>46215</v>
      </c>
      <c r="N2" s="22">
        <v>46222</v>
      </c>
      <c r="O2" s="23">
        <v>46229</v>
      </c>
      <c r="P2" s="21"/>
      <c r="Q2" s="21"/>
      <c r="R2" s="24"/>
      <c r="S2" s="25" t="s">
        <v>17</v>
      </c>
      <c r="T2" s="26" t="str">
        <f>'Attendance key'!$C8</f>
        <v>Late</v>
      </c>
      <c r="U2" s="26" t="str">
        <f>'Attendance key'!$C9</f>
        <v>Excused absence</v>
      </c>
      <c r="V2" s="27" t="str">
        <f>'Attendance key'!$C10</f>
        <v>Unexcused absence</v>
      </c>
    </row>
    <row r="3" spans="1:22" ht="18" customHeight="1">
      <c r="A3" s="28"/>
      <c r="B3" s="29"/>
      <c r="C3" s="30" t="s">
        <v>18</v>
      </c>
      <c r="D3" s="30" t="s">
        <v>18</v>
      </c>
      <c r="E3" s="30" t="s">
        <v>18</v>
      </c>
      <c r="F3" s="30" t="s">
        <v>18</v>
      </c>
      <c r="G3" s="30" t="s">
        <v>18</v>
      </c>
      <c r="H3" s="30" t="s">
        <v>20</v>
      </c>
      <c r="I3" s="30" t="s">
        <v>18</v>
      </c>
      <c r="J3" s="30" t="s">
        <v>18</v>
      </c>
      <c r="K3" s="30" t="s">
        <v>18</v>
      </c>
      <c r="L3" s="30" t="s">
        <v>19</v>
      </c>
      <c r="M3" s="30" t="s">
        <v>18</v>
      </c>
      <c r="N3" s="30" t="s">
        <v>18</v>
      </c>
      <c r="O3" s="30" t="s">
        <v>18</v>
      </c>
      <c r="P3" s="30"/>
      <c r="Q3" s="30"/>
      <c r="R3" s="30"/>
      <c r="S3" s="31"/>
      <c r="T3" s="32" t="str">
        <f>'Attendance key'!$B8</f>
        <v>L</v>
      </c>
      <c r="U3" s="32" t="str">
        <f>'Attendance key'!$B9</f>
        <v>E</v>
      </c>
      <c r="V3" s="33" t="str">
        <f>'Attendance key'!$B10</f>
        <v>U</v>
      </c>
    </row>
    <row r="4" spans="1:22" ht="19.5" customHeight="1">
      <c r="A4" s="34"/>
      <c r="B4" s="64" t="s">
        <v>37</v>
      </c>
      <c r="C4" s="36" t="s">
        <v>4</v>
      </c>
      <c r="D4" s="36" t="s">
        <v>4</v>
      </c>
      <c r="E4" s="36" t="s">
        <v>4</v>
      </c>
      <c r="F4" s="36" t="s">
        <v>4</v>
      </c>
      <c r="G4" s="37" t="s">
        <v>4</v>
      </c>
      <c r="H4" s="38"/>
      <c r="I4" s="36" t="s">
        <v>4</v>
      </c>
      <c r="J4" s="36" t="s">
        <v>4</v>
      </c>
      <c r="K4" s="36" t="s">
        <v>4</v>
      </c>
      <c r="L4" s="36" t="s">
        <v>8</v>
      </c>
      <c r="M4" s="36" t="s">
        <v>4</v>
      </c>
      <c r="N4" s="36" t="s">
        <v>4</v>
      </c>
      <c r="O4" s="36"/>
      <c r="P4" s="36"/>
      <c r="Q4" s="36"/>
      <c r="R4" s="36"/>
      <c r="S4" s="41"/>
      <c r="T4" s="40">
        <v>0</v>
      </c>
      <c r="U4" s="40">
        <v>0</v>
      </c>
      <c r="V4" s="40">
        <v>0</v>
      </c>
    </row>
    <row r="5" spans="1:22" ht="19.5" customHeight="1">
      <c r="A5" s="34"/>
      <c r="B5" s="64" t="s">
        <v>38</v>
      </c>
      <c r="C5" s="36" t="s">
        <v>4</v>
      </c>
      <c r="D5" s="36" t="s">
        <v>4</v>
      </c>
      <c r="E5" s="36" t="s">
        <v>4</v>
      </c>
      <c r="F5" s="36" t="s">
        <v>4</v>
      </c>
      <c r="G5" s="37" t="s">
        <v>4</v>
      </c>
      <c r="H5" s="38"/>
      <c r="I5" s="36" t="s">
        <v>4</v>
      </c>
      <c r="J5" s="36" t="s">
        <v>4</v>
      </c>
      <c r="K5" s="36" t="s">
        <v>6</v>
      </c>
      <c r="L5" s="36" t="s">
        <v>10</v>
      </c>
      <c r="M5" s="36" t="s">
        <v>4</v>
      </c>
      <c r="N5" s="36" t="s">
        <v>4</v>
      </c>
      <c r="O5" s="36"/>
      <c r="P5" s="36"/>
      <c r="Q5" s="36"/>
      <c r="R5" s="36"/>
      <c r="S5" s="42"/>
      <c r="T5" s="40">
        <v>300</v>
      </c>
      <c r="U5" s="40">
        <v>0</v>
      </c>
      <c r="V5" s="40">
        <v>500</v>
      </c>
    </row>
    <row r="6" spans="1:22" ht="19.5" customHeight="1">
      <c r="A6" s="34"/>
      <c r="B6" s="64" t="s">
        <v>39</v>
      </c>
      <c r="C6" s="36" t="s">
        <v>4</v>
      </c>
      <c r="D6" s="36" t="s">
        <v>10</v>
      </c>
      <c r="E6" s="36" t="s">
        <v>10</v>
      </c>
      <c r="F6" s="36" t="s">
        <v>4</v>
      </c>
      <c r="G6" s="37" t="s">
        <v>4</v>
      </c>
      <c r="H6" s="37"/>
      <c r="I6" s="36" t="s">
        <v>8</v>
      </c>
      <c r="J6" s="36" t="s">
        <v>10</v>
      </c>
      <c r="K6" s="36" t="s">
        <v>4</v>
      </c>
      <c r="L6" s="36" t="s">
        <v>10</v>
      </c>
      <c r="M6" s="36" t="s">
        <v>10</v>
      </c>
      <c r="N6" s="36" t="s">
        <v>4</v>
      </c>
      <c r="O6" s="36"/>
      <c r="P6" s="36"/>
      <c r="Q6" s="36"/>
      <c r="R6" s="36"/>
      <c r="S6" s="42"/>
      <c r="T6" s="40">
        <v>0</v>
      </c>
      <c r="U6" s="40">
        <v>0</v>
      </c>
      <c r="V6" s="40">
        <v>2500</v>
      </c>
    </row>
    <row r="7" spans="1:22" ht="19.5" customHeight="1">
      <c r="A7" s="34"/>
      <c r="B7" s="64" t="s">
        <v>40</v>
      </c>
      <c r="C7" s="36" t="s">
        <v>4</v>
      </c>
      <c r="D7" s="36" t="s">
        <v>4</v>
      </c>
      <c r="E7" s="36" t="s">
        <v>4</v>
      </c>
      <c r="F7" s="36" t="s">
        <v>4</v>
      </c>
      <c r="G7" s="37" t="s">
        <v>4</v>
      </c>
      <c r="H7" s="38"/>
      <c r="I7" s="36" t="s">
        <v>4</v>
      </c>
      <c r="J7" s="36" t="s">
        <v>4</v>
      </c>
      <c r="K7" s="36" t="s">
        <v>4</v>
      </c>
      <c r="L7" s="36" t="s">
        <v>10</v>
      </c>
      <c r="M7" s="36" t="s">
        <v>10</v>
      </c>
      <c r="N7" s="36" t="s">
        <v>8</v>
      </c>
      <c r="O7" s="36"/>
      <c r="P7" s="36"/>
      <c r="Q7" s="36"/>
      <c r="R7" s="36"/>
      <c r="S7" s="42"/>
      <c r="T7" s="40">
        <v>0</v>
      </c>
      <c r="U7" s="40">
        <v>0</v>
      </c>
      <c r="V7" s="40">
        <v>1000</v>
      </c>
    </row>
    <row r="8" spans="1:22" ht="19.5" customHeight="1">
      <c r="A8" s="43"/>
      <c r="B8" s="60" t="s">
        <v>41</v>
      </c>
      <c r="C8" s="36" t="s">
        <v>4</v>
      </c>
      <c r="D8" s="36" t="s">
        <v>4</v>
      </c>
      <c r="E8" s="36" t="s">
        <v>4</v>
      </c>
      <c r="F8" s="36" t="s">
        <v>4</v>
      </c>
      <c r="G8" s="36" t="s">
        <v>4</v>
      </c>
      <c r="H8" s="36"/>
      <c r="I8" s="36" t="s">
        <v>4</v>
      </c>
      <c r="J8" s="36" t="s">
        <v>4</v>
      </c>
      <c r="K8" s="36" t="s">
        <v>10</v>
      </c>
      <c r="L8" s="36" t="s">
        <v>4</v>
      </c>
      <c r="M8" s="36" t="s">
        <v>4</v>
      </c>
      <c r="N8" s="36" t="s">
        <v>10</v>
      </c>
      <c r="O8" s="36"/>
      <c r="P8" s="36"/>
      <c r="Q8" s="36"/>
      <c r="R8" s="36"/>
      <c r="S8" s="42"/>
      <c r="T8" s="40">
        <v>0</v>
      </c>
      <c r="U8" s="40">
        <v>0</v>
      </c>
      <c r="V8" s="40">
        <v>1000</v>
      </c>
    </row>
    <row r="9" spans="1:22" ht="19.5" customHeight="1">
      <c r="A9" s="34"/>
      <c r="B9" s="60" t="s">
        <v>42</v>
      </c>
      <c r="C9" s="36" t="s">
        <v>4</v>
      </c>
      <c r="D9" s="36" t="s">
        <v>4</v>
      </c>
      <c r="E9" s="36" t="s">
        <v>4</v>
      </c>
      <c r="F9" s="36" t="s">
        <v>4</v>
      </c>
      <c r="G9" s="36" t="s">
        <v>4</v>
      </c>
      <c r="H9" s="36"/>
      <c r="I9" s="36" t="s">
        <v>4</v>
      </c>
      <c r="J9" s="36" t="s">
        <v>4</v>
      </c>
      <c r="K9" s="36" t="s">
        <v>4</v>
      </c>
      <c r="L9" s="36" t="s">
        <v>4</v>
      </c>
      <c r="M9" s="36" t="s">
        <v>4</v>
      </c>
      <c r="N9" s="36" t="s">
        <v>4</v>
      </c>
      <c r="O9" s="36"/>
      <c r="P9" s="36"/>
      <c r="Q9" s="36"/>
      <c r="R9" s="36"/>
      <c r="S9" s="41"/>
      <c r="T9" s="40">
        <v>0</v>
      </c>
      <c r="U9" s="40">
        <v>0</v>
      </c>
      <c r="V9" s="40">
        <v>0</v>
      </c>
    </row>
    <row r="10" spans="1:22" ht="19.5" customHeight="1">
      <c r="A10" s="34"/>
      <c r="B10" s="64" t="s">
        <v>43</v>
      </c>
      <c r="C10" s="36" t="s">
        <v>4</v>
      </c>
      <c r="D10" s="36" t="s">
        <v>4</v>
      </c>
      <c r="E10" s="36" t="s">
        <v>4</v>
      </c>
      <c r="F10" s="36" t="s">
        <v>6</v>
      </c>
      <c r="G10" s="37" t="s">
        <v>8</v>
      </c>
      <c r="H10" s="36"/>
      <c r="I10" s="36" t="s">
        <v>8</v>
      </c>
      <c r="J10" s="36" t="s">
        <v>4</v>
      </c>
      <c r="K10" s="36" t="s">
        <v>4</v>
      </c>
      <c r="L10" s="36" t="s">
        <v>8</v>
      </c>
      <c r="M10" s="36" t="s">
        <v>4</v>
      </c>
      <c r="N10" s="36" t="s">
        <v>4</v>
      </c>
      <c r="O10" s="36"/>
      <c r="P10" s="36"/>
      <c r="Q10" s="36"/>
      <c r="R10" s="36"/>
      <c r="S10" s="46"/>
      <c r="T10" s="40">
        <v>300</v>
      </c>
      <c r="U10" s="40">
        <v>0</v>
      </c>
      <c r="V10" s="40">
        <v>0</v>
      </c>
    </row>
    <row r="11" spans="1:22" ht="19.5" customHeight="1">
      <c r="A11" s="34"/>
      <c r="B11" s="60" t="s">
        <v>44</v>
      </c>
      <c r="C11" s="36" t="s">
        <v>4</v>
      </c>
      <c r="D11" s="36" t="s">
        <v>4</v>
      </c>
      <c r="E11" s="36" t="s">
        <v>4</v>
      </c>
      <c r="F11" s="36" t="s">
        <v>8</v>
      </c>
      <c r="G11" s="36" t="s">
        <v>4</v>
      </c>
      <c r="H11" s="36"/>
      <c r="I11" s="36" t="s">
        <v>4</v>
      </c>
      <c r="J11" s="36" t="s">
        <v>4</v>
      </c>
      <c r="K11" s="36" t="s">
        <v>4</v>
      </c>
      <c r="L11" s="36" t="s">
        <v>8</v>
      </c>
      <c r="M11" s="36" t="s">
        <v>8</v>
      </c>
      <c r="N11" s="36" t="s">
        <v>4</v>
      </c>
      <c r="O11" s="36"/>
      <c r="P11" s="36"/>
      <c r="Q11" s="36"/>
      <c r="R11" s="36"/>
      <c r="S11" s="41"/>
      <c r="T11" s="40">
        <v>0</v>
      </c>
      <c r="U11" s="40">
        <v>0</v>
      </c>
      <c r="V11" s="40">
        <v>0</v>
      </c>
    </row>
    <row r="12" spans="1:22" ht="19.5" customHeight="1">
      <c r="A12" s="34"/>
      <c r="B12" s="60" t="s">
        <v>45</v>
      </c>
      <c r="C12" s="36" t="s">
        <v>4</v>
      </c>
      <c r="D12" s="36" t="s">
        <v>4</v>
      </c>
      <c r="E12" s="36" t="s">
        <v>6</v>
      </c>
      <c r="F12" s="36" t="s">
        <v>6</v>
      </c>
      <c r="G12" s="36" t="s">
        <v>6</v>
      </c>
      <c r="H12" s="36"/>
      <c r="I12" s="36" t="s">
        <v>6</v>
      </c>
      <c r="J12" s="36" t="s">
        <v>4</v>
      </c>
      <c r="K12" s="36" t="s">
        <v>6</v>
      </c>
      <c r="L12" s="36" t="s">
        <v>8</v>
      </c>
      <c r="M12" s="36" t="s">
        <v>4</v>
      </c>
      <c r="N12" s="36" t="s">
        <v>4</v>
      </c>
      <c r="O12" s="36"/>
      <c r="P12" s="36"/>
      <c r="Q12" s="36"/>
      <c r="R12" s="36"/>
      <c r="S12" s="42"/>
      <c r="T12" s="40">
        <v>1500</v>
      </c>
      <c r="U12" s="40">
        <v>0</v>
      </c>
      <c r="V12" s="40">
        <v>0</v>
      </c>
    </row>
    <row r="13" spans="1:22" ht="19.5" customHeight="1">
      <c r="A13" s="34"/>
      <c r="B13" s="64" t="s">
        <v>46</v>
      </c>
      <c r="C13" s="36" t="s">
        <v>10</v>
      </c>
      <c r="D13" s="36" t="s">
        <v>10</v>
      </c>
      <c r="E13" s="36" t="s">
        <v>4</v>
      </c>
      <c r="F13" s="36" t="s">
        <v>4</v>
      </c>
      <c r="G13" s="36" t="s">
        <v>4</v>
      </c>
      <c r="H13" s="36"/>
      <c r="I13" s="36" t="s">
        <v>8</v>
      </c>
      <c r="J13" s="36" t="s">
        <v>4</v>
      </c>
      <c r="K13" s="36" t="s">
        <v>4</v>
      </c>
      <c r="L13" s="36" t="s">
        <v>4</v>
      </c>
      <c r="M13" s="36" t="s">
        <v>4</v>
      </c>
      <c r="N13" s="36" t="s">
        <v>10</v>
      </c>
      <c r="O13" s="36"/>
      <c r="P13" s="36"/>
      <c r="Q13" s="36"/>
      <c r="R13" s="36"/>
      <c r="S13" s="42"/>
      <c r="T13" s="40">
        <v>0</v>
      </c>
      <c r="U13" s="40">
        <v>0</v>
      </c>
      <c r="V13" s="40">
        <v>1500</v>
      </c>
    </row>
    <row r="14" spans="1:22" ht="19.5" customHeight="1">
      <c r="A14" s="34"/>
      <c r="B14" s="64" t="s">
        <v>47</v>
      </c>
      <c r="C14" s="36" t="s">
        <v>4</v>
      </c>
      <c r="D14" s="36" t="s">
        <v>4</v>
      </c>
      <c r="E14" s="36" t="s">
        <v>4</v>
      </c>
      <c r="F14" s="36" t="s">
        <v>4</v>
      </c>
      <c r="G14" s="36" t="s">
        <v>4</v>
      </c>
      <c r="H14" s="36"/>
      <c r="I14" s="36" t="s">
        <v>4</v>
      </c>
      <c r="J14" s="36" t="s">
        <v>4</v>
      </c>
      <c r="K14" s="45" t="s">
        <v>8</v>
      </c>
      <c r="L14" s="36" t="s">
        <v>4</v>
      </c>
      <c r="M14" s="36" t="s">
        <v>4</v>
      </c>
      <c r="N14" s="36" t="s">
        <v>4</v>
      </c>
      <c r="O14" s="36"/>
      <c r="P14" s="36"/>
      <c r="Q14" s="36"/>
      <c r="R14" s="36"/>
      <c r="S14" s="41"/>
      <c r="T14" s="40">
        <v>0</v>
      </c>
      <c r="U14" s="40">
        <v>0</v>
      </c>
      <c r="V14" s="40">
        <v>0</v>
      </c>
    </row>
    <row r="15" spans="1:22" ht="19.5" customHeight="1">
      <c r="A15" s="34"/>
      <c r="B15" s="64" t="s">
        <v>48</v>
      </c>
      <c r="C15" s="47" t="s">
        <v>6</v>
      </c>
      <c r="D15" s="47" t="s">
        <v>4</v>
      </c>
      <c r="E15" s="47" t="s">
        <v>4</v>
      </c>
      <c r="F15" s="47" t="s">
        <v>6</v>
      </c>
      <c r="G15" s="47" t="s">
        <v>10</v>
      </c>
      <c r="H15" s="47"/>
      <c r="I15" s="47" t="s">
        <v>6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/>
      <c r="P15" s="47"/>
      <c r="Q15" s="47"/>
      <c r="R15" s="47"/>
      <c r="S15" s="42"/>
      <c r="T15" s="49">
        <v>900</v>
      </c>
      <c r="U15" s="49">
        <v>0</v>
      </c>
      <c r="V15" s="48"/>
    </row>
    <row r="16" spans="1:22" ht="19.5" customHeight="1">
      <c r="A16" s="34"/>
      <c r="B16" s="60" t="s">
        <v>49</v>
      </c>
      <c r="C16" s="36" t="s">
        <v>4</v>
      </c>
      <c r="D16" s="36" t="s">
        <v>4</v>
      </c>
      <c r="E16" s="36" t="s">
        <v>4</v>
      </c>
      <c r="F16" s="36" t="s">
        <v>4</v>
      </c>
      <c r="G16" s="36" t="s">
        <v>4</v>
      </c>
      <c r="H16" s="44"/>
      <c r="I16" s="36" t="s">
        <v>4</v>
      </c>
      <c r="J16" s="36" t="s">
        <v>6</v>
      </c>
      <c r="K16" s="36" t="s">
        <v>6</v>
      </c>
      <c r="L16" s="36" t="s">
        <v>4</v>
      </c>
      <c r="M16" s="36" t="s">
        <v>4</v>
      </c>
      <c r="N16" s="36" t="s">
        <v>4</v>
      </c>
      <c r="O16" s="36"/>
      <c r="P16" s="36"/>
      <c r="Q16" s="36"/>
      <c r="R16" s="36"/>
      <c r="S16" s="42"/>
      <c r="T16" s="40">
        <v>600</v>
      </c>
      <c r="U16" s="40">
        <v>0</v>
      </c>
      <c r="V16" s="40">
        <v>0</v>
      </c>
    </row>
    <row r="17" spans="1:22" ht="19.5" customHeight="1">
      <c r="A17" s="34"/>
      <c r="B17" s="64" t="s">
        <v>50</v>
      </c>
      <c r="C17" s="36" t="s">
        <v>4</v>
      </c>
      <c r="D17" s="36" t="s">
        <v>4</v>
      </c>
      <c r="E17" s="36" t="s">
        <v>4</v>
      </c>
      <c r="F17" s="36" t="s">
        <v>4</v>
      </c>
      <c r="G17" s="36" t="s">
        <v>4</v>
      </c>
      <c r="H17" s="36"/>
      <c r="I17" s="36" t="s">
        <v>4</v>
      </c>
      <c r="J17" s="36" t="s">
        <v>4</v>
      </c>
      <c r="K17" s="36" t="s">
        <v>6</v>
      </c>
      <c r="L17" s="36" t="s">
        <v>4</v>
      </c>
      <c r="M17" s="36" t="s">
        <v>4</v>
      </c>
      <c r="N17" s="36" t="s">
        <v>4</v>
      </c>
      <c r="O17" s="36"/>
      <c r="P17" s="36"/>
      <c r="Q17" s="36"/>
      <c r="R17" s="36"/>
      <c r="S17" s="46"/>
      <c r="T17" s="40">
        <v>300</v>
      </c>
      <c r="U17" s="40">
        <v>0</v>
      </c>
      <c r="V17" s="40">
        <v>0</v>
      </c>
    </row>
    <row r="18" spans="1:22" ht="19.5" customHeight="1">
      <c r="A18" s="34"/>
      <c r="B18" s="64" t="s">
        <v>51</v>
      </c>
      <c r="C18" s="36" t="s">
        <v>4</v>
      </c>
      <c r="D18" s="36" t="s">
        <v>6</v>
      </c>
      <c r="E18" s="36" t="s">
        <v>4</v>
      </c>
      <c r="F18" s="36" t="s">
        <v>4</v>
      </c>
      <c r="G18" s="36" t="s">
        <v>10</v>
      </c>
      <c r="H18" s="36"/>
      <c r="I18" s="36" t="s">
        <v>4</v>
      </c>
      <c r="J18" s="36" t="s">
        <v>6</v>
      </c>
      <c r="K18" s="36" t="s">
        <v>10</v>
      </c>
      <c r="L18" s="36" t="s">
        <v>4</v>
      </c>
      <c r="M18" s="36" t="s">
        <v>4</v>
      </c>
      <c r="N18" s="36" t="s">
        <v>4</v>
      </c>
      <c r="O18" s="36"/>
      <c r="P18" s="36"/>
      <c r="Q18" s="36"/>
      <c r="R18" s="36"/>
      <c r="S18" s="42"/>
      <c r="T18" s="40">
        <v>600</v>
      </c>
      <c r="U18" s="50">
        <v>0</v>
      </c>
      <c r="V18" s="50">
        <v>1000</v>
      </c>
    </row>
    <row r="19" spans="1:22" ht="19.5" customHeight="1">
      <c r="A19" s="34"/>
      <c r="B19" s="64" t="s">
        <v>52</v>
      </c>
      <c r="C19" s="36" t="s">
        <v>10</v>
      </c>
      <c r="D19" s="36" t="s">
        <v>10</v>
      </c>
      <c r="E19" s="36" t="s">
        <v>4</v>
      </c>
      <c r="F19" s="36" t="s">
        <v>10</v>
      </c>
      <c r="G19" s="36" t="s">
        <v>10</v>
      </c>
      <c r="H19" s="36"/>
      <c r="I19" s="36" t="s">
        <v>10</v>
      </c>
      <c r="J19" s="36" t="s">
        <v>4</v>
      </c>
      <c r="K19" s="36" t="s">
        <v>10</v>
      </c>
      <c r="L19" s="36" t="s">
        <v>4</v>
      </c>
      <c r="M19" s="36" t="s">
        <v>4</v>
      </c>
      <c r="N19" s="36" t="s">
        <v>8</v>
      </c>
      <c r="O19" s="36"/>
      <c r="P19" s="36"/>
      <c r="Q19" s="36"/>
      <c r="R19" s="36"/>
      <c r="S19" s="42"/>
      <c r="T19" s="40">
        <v>0</v>
      </c>
      <c r="U19" s="50">
        <v>0</v>
      </c>
      <c r="V19" s="50">
        <v>3000</v>
      </c>
    </row>
    <row r="20" spans="1:22" ht="19.5" customHeight="1">
      <c r="A20" s="34"/>
      <c r="B20" s="60" t="s">
        <v>53</v>
      </c>
      <c r="C20" s="36" t="s">
        <v>4</v>
      </c>
      <c r="D20" s="36" t="s">
        <v>4</v>
      </c>
      <c r="E20" s="36" t="s">
        <v>4</v>
      </c>
      <c r="F20" s="36" t="s">
        <v>10</v>
      </c>
      <c r="G20" s="36" t="s">
        <v>6</v>
      </c>
      <c r="H20" s="36"/>
      <c r="I20" s="36" t="s">
        <v>4</v>
      </c>
      <c r="J20" s="36" t="s">
        <v>4</v>
      </c>
      <c r="K20" s="36" t="s">
        <v>4</v>
      </c>
      <c r="L20" s="36" t="s">
        <v>4</v>
      </c>
      <c r="M20" s="36" t="s">
        <v>4</v>
      </c>
      <c r="N20" s="36" t="s">
        <v>6</v>
      </c>
      <c r="O20" s="36"/>
      <c r="P20" s="36"/>
      <c r="Q20" s="36"/>
      <c r="R20" s="36"/>
      <c r="S20" s="42"/>
      <c r="T20" s="40">
        <v>600</v>
      </c>
      <c r="U20" s="40">
        <v>0</v>
      </c>
      <c r="V20" s="40">
        <v>500</v>
      </c>
    </row>
    <row r="21" spans="1:22" ht="19.5" customHeight="1">
      <c r="A21" s="34"/>
      <c r="B21" s="64" t="s">
        <v>54</v>
      </c>
      <c r="C21" s="47" t="s">
        <v>4</v>
      </c>
      <c r="D21" s="47" t="s">
        <v>6</v>
      </c>
      <c r="E21" s="47" t="s">
        <v>10</v>
      </c>
      <c r="F21" s="47" t="s">
        <v>8</v>
      </c>
      <c r="G21" s="47" t="s">
        <v>4</v>
      </c>
      <c r="H21" s="47"/>
      <c r="I21" s="47" t="s">
        <v>4</v>
      </c>
      <c r="J21" s="47" t="s">
        <v>10</v>
      </c>
      <c r="K21" s="47" t="s">
        <v>4</v>
      </c>
      <c r="L21" s="47" t="s">
        <v>10</v>
      </c>
      <c r="M21" s="47" t="s">
        <v>4</v>
      </c>
      <c r="N21" s="47" t="s">
        <v>4</v>
      </c>
      <c r="O21" s="47"/>
      <c r="P21" s="47"/>
      <c r="Q21" s="47"/>
      <c r="R21" s="47"/>
      <c r="S21" s="42"/>
      <c r="T21" s="49">
        <v>300</v>
      </c>
      <c r="U21" s="49">
        <v>0</v>
      </c>
      <c r="V21" s="49">
        <v>1500</v>
      </c>
    </row>
    <row r="22" spans="1:22" ht="19.5" customHeight="1">
      <c r="A22" s="34"/>
      <c r="B22" s="64" t="s">
        <v>55</v>
      </c>
      <c r="C22" s="47" t="s">
        <v>4</v>
      </c>
      <c r="D22" s="47" t="s">
        <v>6</v>
      </c>
      <c r="E22" s="47" t="s">
        <v>10</v>
      </c>
      <c r="F22" s="47" t="s">
        <v>8</v>
      </c>
      <c r="G22" s="47" t="s">
        <v>4</v>
      </c>
      <c r="H22" s="47"/>
      <c r="I22" s="47" t="s">
        <v>10</v>
      </c>
      <c r="J22" s="47" t="s">
        <v>4</v>
      </c>
      <c r="K22" s="47" t="s">
        <v>10</v>
      </c>
      <c r="L22" s="47" t="s">
        <v>4</v>
      </c>
      <c r="M22" s="47" t="s">
        <v>4</v>
      </c>
      <c r="N22" s="47" t="s">
        <v>4</v>
      </c>
      <c r="O22" s="47"/>
      <c r="P22" s="47"/>
      <c r="Q22" s="47"/>
      <c r="R22" s="47"/>
      <c r="S22" s="46"/>
      <c r="T22" s="49">
        <v>300</v>
      </c>
      <c r="U22" s="49">
        <v>0</v>
      </c>
      <c r="V22" s="49">
        <v>1500</v>
      </c>
    </row>
    <row r="23" spans="1:22" ht="19.5" customHeight="1">
      <c r="A23" s="34"/>
      <c r="B23" s="64" t="s">
        <v>56</v>
      </c>
      <c r="C23" s="47" t="s">
        <v>4</v>
      </c>
      <c r="D23" s="47" t="s">
        <v>4</v>
      </c>
      <c r="E23" s="47" t="s">
        <v>4</v>
      </c>
      <c r="F23" s="47" t="s">
        <v>4</v>
      </c>
      <c r="G23" s="47" t="s">
        <v>6</v>
      </c>
      <c r="H23" s="47"/>
      <c r="I23" s="47" t="s">
        <v>4</v>
      </c>
      <c r="J23" s="47" t="s">
        <v>4</v>
      </c>
      <c r="K23" s="47" t="s">
        <v>4</v>
      </c>
      <c r="L23" s="47" t="s">
        <v>4</v>
      </c>
      <c r="M23" s="47" t="s">
        <v>4</v>
      </c>
      <c r="N23" s="47" t="s">
        <v>4</v>
      </c>
      <c r="O23" s="47"/>
      <c r="P23" s="47"/>
      <c r="Q23" s="47"/>
      <c r="R23" s="47"/>
      <c r="S23" s="42"/>
      <c r="T23" s="49">
        <v>300</v>
      </c>
      <c r="U23" s="49">
        <v>0</v>
      </c>
      <c r="V23" s="49">
        <v>0</v>
      </c>
    </row>
    <row r="24" spans="1:22" ht="19.5" customHeight="1">
      <c r="A24" s="34"/>
      <c r="B24" s="60" t="s">
        <v>57</v>
      </c>
      <c r="C24" s="36" t="s">
        <v>4</v>
      </c>
      <c r="D24" s="36" t="s">
        <v>4</v>
      </c>
      <c r="E24" s="36" t="s">
        <v>4</v>
      </c>
      <c r="F24" s="36" t="s">
        <v>4</v>
      </c>
      <c r="G24" s="36" t="s">
        <v>4</v>
      </c>
      <c r="H24" s="36"/>
      <c r="I24" s="36" t="s">
        <v>4</v>
      </c>
      <c r="J24" s="36" t="s">
        <v>4</v>
      </c>
      <c r="K24" s="36" t="s">
        <v>4</v>
      </c>
      <c r="L24" s="36" t="s">
        <v>4</v>
      </c>
      <c r="M24" s="36" t="s">
        <v>4</v>
      </c>
      <c r="N24" s="36" t="s">
        <v>4</v>
      </c>
      <c r="O24" s="36"/>
      <c r="P24" s="36"/>
      <c r="Q24" s="36"/>
      <c r="R24" s="36"/>
      <c r="S24" s="41"/>
      <c r="T24" s="40">
        <v>0</v>
      </c>
      <c r="U24" s="40">
        <v>0</v>
      </c>
      <c r="V24" s="40">
        <v>0</v>
      </c>
    </row>
    <row r="25" spans="1:22" ht="19.5" customHeight="1">
      <c r="A25" s="34"/>
      <c r="B25" s="64" t="s">
        <v>58</v>
      </c>
      <c r="C25" s="47" t="s">
        <v>4</v>
      </c>
      <c r="D25" s="47" t="s">
        <v>6</v>
      </c>
      <c r="E25" s="47" t="s">
        <v>4</v>
      </c>
      <c r="F25" s="47" t="s">
        <v>4</v>
      </c>
      <c r="G25" s="47" t="s">
        <v>4</v>
      </c>
      <c r="H25" s="47"/>
      <c r="I25" s="47" t="s">
        <v>4</v>
      </c>
      <c r="J25" s="47" t="s">
        <v>4</v>
      </c>
      <c r="K25" s="47" t="s">
        <v>8</v>
      </c>
      <c r="L25" s="47" t="s">
        <v>4</v>
      </c>
      <c r="M25" s="47" t="s">
        <v>10</v>
      </c>
      <c r="N25" s="47" t="s">
        <v>10</v>
      </c>
      <c r="O25" s="47"/>
      <c r="P25" s="47"/>
      <c r="Q25" s="47"/>
      <c r="R25" s="47"/>
      <c r="S25" s="46"/>
      <c r="T25" s="49">
        <v>300</v>
      </c>
      <c r="U25" s="49">
        <v>0</v>
      </c>
      <c r="V25" s="49">
        <v>1000</v>
      </c>
    </row>
    <row r="26" spans="1:22" ht="19.5" customHeight="1">
      <c r="A26" s="34"/>
      <c r="B26" s="64" t="s">
        <v>59</v>
      </c>
      <c r="C26" s="47" t="s">
        <v>4</v>
      </c>
      <c r="D26" s="47" t="s">
        <v>4</v>
      </c>
      <c r="E26" s="47" t="s">
        <v>10</v>
      </c>
      <c r="F26" s="47" t="s">
        <v>10</v>
      </c>
      <c r="G26" s="47" t="s">
        <v>4</v>
      </c>
      <c r="H26" s="47"/>
      <c r="I26" s="47" t="s">
        <v>4</v>
      </c>
      <c r="J26" s="47" t="s">
        <v>4</v>
      </c>
      <c r="K26" s="47" t="s">
        <v>4</v>
      </c>
      <c r="L26" s="47" t="s">
        <v>4</v>
      </c>
      <c r="M26" s="47" t="s">
        <v>4</v>
      </c>
      <c r="N26" s="47" t="s">
        <v>4</v>
      </c>
      <c r="O26" s="47"/>
      <c r="P26" s="47"/>
      <c r="Q26" s="47"/>
      <c r="R26" s="47"/>
      <c r="S26" s="46"/>
      <c r="T26" s="49">
        <v>0</v>
      </c>
      <c r="U26" s="49">
        <v>0</v>
      </c>
      <c r="V26" s="49">
        <v>1000</v>
      </c>
    </row>
    <row r="27" spans="1:22" ht="19.5" customHeight="1">
      <c r="A27" s="34"/>
      <c r="B27" s="60" t="s">
        <v>60</v>
      </c>
      <c r="C27" s="36" t="s">
        <v>4</v>
      </c>
      <c r="D27" s="36" t="s">
        <v>4</v>
      </c>
      <c r="E27" s="36" t="s">
        <v>4</v>
      </c>
      <c r="F27" s="36" t="s">
        <v>4</v>
      </c>
      <c r="G27" s="36" t="s">
        <v>4</v>
      </c>
      <c r="H27" s="36"/>
      <c r="I27" s="36" t="s">
        <v>6</v>
      </c>
      <c r="J27" s="36" t="s">
        <v>4</v>
      </c>
      <c r="K27" s="36" t="s">
        <v>4</v>
      </c>
      <c r="L27" s="36" t="s">
        <v>4</v>
      </c>
      <c r="M27" s="36" t="s">
        <v>10</v>
      </c>
      <c r="N27" s="36" t="s">
        <v>4</v>
      </c>
      <c r="O27" s="36"/>
      <c r="P27" s="36"/>
      <c r="Q27" s="36"/>
      <c r="R27" s="36"/>
      <c r="S27" s="42"/>
      <c r="T27" s="40">
        <v>300</v>
      </c>
      <c r="U27" s="40">
        <v>0</v>
      </c>
      <c r="V27" s="40">
        <v>500</v>
      </c>
    </row>
    <row r="28" spans="1:22" ht="19.5" customHeight="1">
      <c r="A28" s="34"/>
      <c r="B28" s="64" t="s">
        <v>61</v>
      </c>
      <c r="C28" s="47" t="s">
        <v>4</v>
      </c>
      <c r="D28" s="47" t="s">
        <v>10</v>
      </c>
      <c r="E28" s="47" t="s">
        <v>10</v>
      </c>
      <c r="F28" s="47" t="s">
        <v>4</v>
      </c>
      <c r="G28" s="47" t="s">
        <v>6</v>
      </c>
      <c r="H28" s="47"/>
      <c r="I28" s="47" t="s">
        <v>6</v>
      </c>
      <c r="J28" s="47" t="s">
        <v>6</v>
      </c>
      <c r="K28" s="47" t="s">
        <v>10</v>
      </c>
      <c r="L28" s="47" t="s">
        <v>6</v>
      </c>
      <c r="M28" s="47" t="s">
        <v>8</v>
      </c>
      <c r="N28" s="47" t="s">
        <v>4</v>
      </c>
      <c r="O28" s="47"/>
      <c r="P28" s="47"/>
      <c r="Q28" s="47"/>
      <c r="R28" s="47"/>
      <c r="S28" s="42"/>
      <c r="T28" s="49">
        <v>1200</v>
      </c>
      <c r="U28" s="49">
        <v>0</v>
      </c>
      <c r="V28" s="49">
        <v>1500</v>
      </c>
    </row>
    <row r="29" spans="1:22" ht="19.5" customHeight="1">
      <c r="A29" s="34"/>
      <c r="B29" s="60" t="s">
        <v>39</v>
      </c>
      <c r="C29" s="36" t="s">
        <v>4</v>
      </c>
      <c r="D29" s="36" t="s">
        <v>4</v>
      </c>
      <c r="E29" s="36" t="s">
        <v>4</v>
      </c>
      <c r="F29" s="36" t="s">
        <v>4</v>
      </c>
      <c r="G29" s="36" t="s">
        <v>4</v>
      </c>
      <c r="H29" s="36"/>
      <c r="I29" s="36" t="s">
        <v>6</v>
      </c>
      <c r="J29" s="36" t="s">
        <v>4</v>
      </c>
      <c r="K29" s="36" t="s">
        <v>10</v>
      </c>
      <c r="L29" s="36" t="s">
        <v>4</v>
      </c>
      <c r="M29" s="36" t="s">
        <v>10</v>
      </c>
      <c r="N29" s="36" t="s">
        <v>4</v>
      </c>
      <c r="O29" s="36"/>
      <c r="P29" s="36"/>
      <c r="Q29" s="36"/>
      <c r="R29" s="36"/>
      <c r="S29" s="42"/>
      <c r="T29" s="40">
        <v>300</v>
      </c>
      <c r="U29" s="40">
        <v>0</v>
      </c>
      <c r="V29" s="40">
        <v>1000</v>
      </c>
    </row>
    <row r="30" spans="1:22" ht="19.5" customHeight="1">
      <c r="A30" s="34"/>
      <c r="B30" s="64" t="s">
        <v>62</v>
      </c>
      <c r="C30" s="47" t="s">
        <v>4</v>
      </c>
      <c r="D30" s="47" t="s">
        <v>4</v>
      </c>
      <c r="E30" s="47" t="s">
        <v>10</v>
      </c>
      <c r="F30" s="47" t="s">
        <v>4</v>
      </c>
      <c r="G30" s="47" t="s">
        <v>4</v>
      </c>
      <c r="H30" s="47"/>
      <c r="I30" s="47" t="s">
        <v>8</v>
      </c>
      <c r="J30" s="47" t="s">
        <v>4</v>
      </c>
      <c r="K30" s="47" t="s">
        <v>4</v>
      </c>
      <c r="L30" s="47" t="s">
        <v>6</v>
      </c>
      <c r="M30" s="47" t="s">
        <v>8</v>
      </c>
      <c r="N30" s="47" t="s">
        <v>4</v>
      </c>
      <c r="O30" s="47"/>
      <c r="P30" s="47"/>
      <c r="Q30" s="47"/>
      <c r="R30" s="47"/>
      <c r="S30" s="42"/>
      <c r="T30" s="49">
        <v>300</v>
      </c>
      <c r="U30" s="49">
        <v>0</v>
      </c>
      <c r="V30" s="49">
        <v>500</v>
      </c>
    </row>
    <row r="31" spans="1:22" ht="19.5" customHeight="1">
      <c r="A31" s="34"/>
      <c r="B31" s="64" t="s">
        <v>63</v>
      </c>
      <c r="C31" s="47" t="s">
        <v>4</v>
      </c>
      <c r="D31" s="47" t="s">
        <v>4</v>
      </c>
      <c r="E31" s="47" t="s">
        <v>4</v>
      </c>
      <c r="F31" s="47" t="s">
        <v>6</v>
      </c>
      <c r="G31" s="47" t="s">
        <v>4</v>
      </c>
      <c r="H31" s="47"/>
      <c r="I31" s="47" t="s">
        <v>4</v>
      </c>
      <c r="J31" s="47" t="s">
        <v>4</v>
      </c>
      <c r="K31" s="47" t="s">
        <v>8</v>
      </c>
      <c r="L31" s="47" t="s">
        <v>4</v>
      </c>
      <c r="M31" s="47" t="s">
        <v>8</v>
      </c>
      <c r="N31" s="47" t="s">
        <v>10</v>
      </c>
      <c r="O31" s="47"/>
      <c r="P31" s="47"/>
      <c r="Q31" s="47"/>
      <c r="R31" s="47"/>
      <c r="S31" s="42"/>
      <c r="T31" s="49">
        <v>300</v>
      </c>
      <c r="U31" s="49">
        <v>0</v>
      </c>
      <c r="V31" s="49">
        <v>500</v>
      </c>
    </row>
    <row r="32" spans="1:22" ht="19.5" customHeight="1">
      <c r="A32" s="34"/>
      <c r="B32" s="64" t="s">
        <v>64</v>
      </c>
      <c r="C32" s="47" t="s">
        <v>10</v>
      </c>
      <c r="D32" s="47" t="s">
        <v>10</v>
      </c>
      <c r="E32" s="47" t="s">
        <v>4</v>
      </c>
      <c r="F32" s="47" t="s">
        <v>4</v>
      </c>
      <c r="G32" s="47" t="s">
        <v>4</v>
      </c>
      <c r="H32" s="47"/>
      <c r="I32" s="47" t="s">
        <v>10</v>
      </c>
      <c r="J32" s="47" t="s">
        <v>4</v>
      </c>
      <c r="K32" s="47" t="s">
        <v>4</v>
      </c>
      <c r="L32" s="47" t="s">
        <v>10</v>
      </c>
      <c r="M32" s="47" t="s">
        <v>4</v>
      </c>
      <c r="N32" s="47" t="s">
        <v>4</v>
      </c>
      <c r="O32" s="47"/>
      <c r="P32" s="47"/>
      <c r="Q32" s="47"/>
      <c r="R32" s="47"/>
      <c r="S32" s="46"/>
      <c r="T32" s="49">
        <v>0</v>
      </c>
      <c r="U32" s="49">
        <v>0</v>
      </c>
      <c r="V32" s="49">
        <v>2000</v>
      </c>
    </row>
    <row r="33" spans="1:22" ht="19.5" customHeight="1">
      <c r="A33" s="34"/>
      <c r="B33" s="64" t="s">
        <v>52</v>
      </c>
      <c r="C33" s="47" t="s">
        <v>10</v>
      </c>
      <c r="D33" s="47" t="s">
        <v>8</v>
      </c>
      <c r="E33" s="47" t="s">
        <v>10</v>
      </c>
      <c r="F33" s="47" t="s">
        <v>10</v>
      </c>
      <c r="G33" s="47" t="s">
        <v>4</v>
      </c>
      <c r="H33" s="47"/>
      <c r="I33" s="47" t="s">
        <v>4</v>
      </c>
      <c r="J33" s="47" t="s">
        <v>4</v>
      </c>
      <c r="K33" s="47" t="s">
        <v>4</v>
      </c>
      <c r="L33" s="47" t="s">
        <v>4</v>
      </c>
      <c r="M33" s="47" t="s">
        <v>6</v>
      </c>
      <c r="N33" s="47" t="s">
        <v>10</v>
      </c>
      <c r="O33" s="47"/>
      <c r="P33" s="47"/>
      <c r="Q33" s="47"/>
      <c r="R33" s="47"/>
      <c r="S33" s="42"/>
      <c r="T33" s="49">
        <v>300</v>
      </c>
      <c r="U33" s="49">
        <v>0</v>
      </c>
      <c r="V33" s="49">
        <v>2000</v>
      </c>
    </row>
    <row r="34" spans="1:22" ht="19.5" customHeight="1">
      <c r="A34" s="34"/>
      <c r="B34" s="64" t="s">
        <v>65</v>
      </c>
      <c r="C34" s="47" t="s">
        <v>4</v>
      </c>
      <c r="D34" s="47" t="s">
        <v>4</v>
      </c>
      <c r="E34" s="47" t="s">
        <v>4</v>
      </c>
      <c r="F34" s="47" t="s">
        <v>4</v>
      </c>
      <c r="G34" s="47" t="s">
        <v>4</v>
      </c>
      <c r="H34" s="47"/>
      <c r="I34" s="47" t="s">
        <v>8</v>
      </c>
      <c r="J34" s="47" t="s">
        <v>4</v>
      </c>
      <c r="K34" s="47" t="s">
        <v>4</v>
      </c>
      <c r="L34" s="47" t="s">
        <v>4</v>
      </c>
      <c r="M34" s="47" t="s">
        <v>4</v>
      </c>
      <c r="N34" s="47" t="s">
        <v>4</v>
      </c>
      <c r="O34" s="47"/>
      <c r="P34" s="47"/>
      <c r="Q34" s="47"/>
      <c r="R34" s="47"/>
      <c r="S34" s="41"/>
      <c r="T34" s="49">
        <v>0</v>
      </c>
      <c r="U34" s="49">
        <v>0</v>
      </c>
      <c r="V34" s="49">
        <v>0</v>
      </c>
    </row>
    <row r="35" spans="1:22" ht="19.5" customHeight="1">
      <c r="A35" s="34"/>
      <c r="B35" s="60" t="s">
        <v>66</v>
      </c>
      <c r="C35" s="36" t="s">
        <v>4</v>
      </c>
      <c r="D35" s="36" t="s">
        <v>4</v>
      </c>
      <c r="E35" s="36" t="s">
        <v>4</v>
      </c>
      <c r="F35" s="36" t="s">
        <v>4</v>
      </c>
      <c r="G35" s="36" t="s">
        <v>4</v>
      </c>
      <c r="H35" s="36"/>
      <c r="I35" s="36" t="s">
        <v>8</v>
      </c>
      <c r="J35" s="36" t="s">
        <v>4</v>
      </c>
      <c r="K35" s="36" t="s">
        <v>4</v>
      </c>
      <c r="L35" s="36" t="s">
        <v>4</v>
      </c>
      <c r="M35" s="36" t="s">
        <v>4</v>
      </c>
      <c r="N35" s="36" t="s">
        <v>4</v>
      </c>
      <c r="O35" s="36"/>
      <c r="P35" s="36"/>
      <c r="Q35" s="36"/>
      <c r="R35" s="36"/>
      <c r="S35" s="41"/>
      <c r="T35" s="40">
        <v>0</v>
      </c>
      <c r="U35" s="40">
        <v>0</v>
      </c>
      <c r="V35" s="40">
        <v>500</v>
      </c>
    </row>
    <row r="36" spans="1:22" ht="19.5" customHeight="1">
      <c r="A36" s="34"/>
      <c r="B36" s="60" t="s">
        <v>67</v>
      </c>
      <c r="C36" s="36" t="s">
        <v>4</v>
      </c>
      <c r="D36" s="36" t="s">
        <v>4</v>
      </c>
      <c r="E36" s="36" t="s">
        <v>4</v>
      </c>
      <c r="F36" s="36" t="s">
        <v>4</v>
      </c>
      <c r="G36" s="36" t="s">
        <v>4</v>
      </c>
      <c r="H36" s="36"/>
      <c r="I36" s="36" t="s">
        <v>4</v>
      </c>
      <c r="J36" s="36" t="s">
        <v>4</v>
      </c>
      <c r="K36" s="36" t="s">
        <v>4</v>
      </c>
      <c r="L36" s="36" t="s">
        <v>8</v>
      </c>
      <c r="M36" s="36" t="s">
        <v>4</v>
      </c>
      <c r="N36" s="36" t="s">
        <v>4</v>
      </c>
      <c r="O36" s="36"/>
      <c r="P36" s="36"/>
      <c r="Q36" s="36"/>
      <c r="R36" s="36"/>
      <c r="S36" s="41"/>
      <c r="T36" s="40">
        <v>0</v>
      </c>
      <c r="U36" s="40">
        <v>0</v>
      </c>
      <c r="V36" s="40">
        <v>0</v>
      </c>
    </row>
    <row r="37" spans="1:22" ht="19.5" customHeight="1">
      <c r="A37" s="34"/>
      <c r="B37" s="64" t="s">
        <v>68</v>
      </c>
      <c r="C37" s="47" t="s">
        <v>4</v>
      </c>
      <c r="D37" s="47" t="s">
        <v>4</v>
      </c>
      <c r="E37" s="47" t="s">
        <v>4</v>
      </c>
      <c r="F37" s="47" t="s">
        <v>10</v>
      </c>
      <c r="G37" s="47" t="s">
        <v>4</v>
      </c>
      <c r="H37" s="47"/>
      <c r="I37" s="47" t="s">
        <v>4</v>
      </c>
      <c r="J37" s="47" t="s">
        <v>4</v>
      </c>
      <c r="K37" s="47" t="s">
        <v>10</v>
      </c>
      <c r="L37" s="47" t="s">
        <v>4</v>
      </c>
      <c r="M37" s="47" t="s">
        <v>4</v>
      </c>
      <c r="N37" s="47" t="s">
        <v>4</v>
      </c>
      <c r="O37" s="47"/>
      <c r="P37" s="47"/>
      <c r="Q37" s="47"/>
      <c r="R37" s="47"/>
      <c r="S37" s="46"/>
      <c r="T37" s="49">
        <v>0</v>
      </c>
      <c r="U37" s="49">
        <v>0</v>
      </c>
      <c r="V37" s="49">
        <v>1000</v>
      </c>
    </row>
    <row r="38" spans="1:22" ht="19.5" customHeight="1">
      <c r="A38" s="34"/>
      <c r="B38" s="64" t="s">
        <v>69</v>
      </c>
      <c r="C38" s="47" t="s">
        <v>4</v>
      </c>
      <c r="D38" s="47" t="s">
        <v>4</v>
      </c>
      <c r="E38" s="47" t="s">
        <v>4</v>
      </c>
      <c r="F38" s="47" t="s">
        <v>4</v>
      </c>
      <c r="G38" s="47" t="s">
        <v>4</v>
      </c>
      <c r="H38" s="47"/>
      <c r="I38" s="47" t="s">
        <v>4</v>
      </c>
      <c r="J38" s="47" t="s">
        <v>4</v>
      </c>
      <c r="K38" s="47" t="s">
        <v>4</v>
      </c>
      <c r="L38" s="47" t="s">
        <v>4</v>
      </c>
      <c r="M38" s="47" t="s">
        <v>10</v>
      </c>
      <c r="N38" s="47" t="s">
        <v>4</v>
      </c>
      <c r="O38" s="47"/>
      <c r="P38" s="47"/>
      <c r="Q38" s="47"/>
      <c r="R38" s="47"/>
      <c r="S38" s="46"/>
      <c r="T38" s="49">
        <v>0</v>
      </c>
      <c r="U38" s="49">
        <v>0</v>
      </c>
      <c r="V38" s="49">
        <v>500</v>
      </c>
    </row>
    <row r="39" spans="1:22" ht="19.5" customHeight="1">
      <c r="A39" s="34"/>
      <c r="B39" s="60" t="s">
        <v>70</v>
      </c>
      <c r="C39" s="36" t="s">
        <v>4</v>
      </c>
      <c r="D39" s="36" t="s">
        <v>4</v>
      </c>
      <c r="E39" s="36" t="s">
        <v>4</v>
      </c>
      <c r="F39" s="36" t="s">
        <v>4</v>
      </c>
      <c r="G39" s="36" t="s">
        <v>4</v>
      </c>
      <c r="H39" s="36"/>
      <c r="I39" s="36" t="s">
        <v>4</v>
      </c>
      <c r="J39" s="36" t="s">
        <v>4</v>
      </c>
      <c r="K39" s="36" t="s">
        <v>4</v>
      </c>
      <c r="L39" s="36" t="s">
        <v>4</v>
      </c>
      <c r="M39" s="36" t="s">
        <v>4</v>
      </c>
      <c r="N39" s="36" t="s">
        <v>4</v>
      </c>
      <c r="O39" s="36"/>
      <c r="P39" s="36"/>
      <c r="Q39" s="36"/>
      <c r="R39" s="36"/>
      <c r="S39" s="41"/>
      <c r="T39" s="40">
        <v>0</v>
      </c>
      <c r="U39" s="40">
        <v>0</v>
      </c>
      <c r="V39" s="40">
        <v>0</v>
      </c>
    </row>
    <row r="40" spans="1:22" ht="19.5" customHeight="1">
      <c r="A40" s="34"/>
      <c r="B40" s="64" t="s">
        <v>71</v>
      </c>
      <c r="C40" s="47" t="s">
        <v>4</v>
      </c>
      <c r="D40" s="47" t="s">
        <v>4</v>
      </c>
      <c r="E40" s="47" t="s">
        <v>4</v>
      </c>
      <c r="F40" s="47" t="s">
        <v>10</v>
      </c>
      <c r="G40" s="47" t="s">
        <v>4</v>
      </c>
      <c r="H40" s="47"/>
      <c r="I40" s="47" t="s">
        <v>4</v>
      </c>
      <c r="J40" s="47" t="s">
        <v>4</v>
      </c>
      <c r="K40" s="47" t="s">
        <v>10</v>
      </c>
      <c r="L40" s="47" t="s">
        <v>4</v>
      </c>
      <c r="M40" s="47" t="s">
        <v>4</v>
      </c>
      <c r="N40" s="47" t="s">
        <v>4</v>
      </c>
      <c r="O40" s="47"/>
      <c r="P40" s="47"/>
      <c r="Q40" s="47"/>
      <c r="R40" s="47"/>
      <c r="S40" s="42"/>
      <c r="T40" s="49">
        <v>0</v>
      </c>
      <c r="U40" s="49">
        <v>0</v>
      </c>
      <c r="V40" s="49">
        <v>1000</v>
      </c>
    </row>
    <row r="41" spans="1:22" ht="17.25" customHeight="1">
      <c r="A41" s="34"/>
      <c r="B41" s="60" t="s">
        <v>72</v>
      </c>
      <c r="C41" s="36" t="s">
        <v>4</v>
      </c>
      <c r="D41" s="36" t="s">
        <v>4</v>
      </c>
      <c r="E41" s="36" t="s">
        <v>10</v>
      </c>
      <c r="F41" s="36" t="s">
        <v>4</v>
      </c>
      <c r="G41" s="36" t="s">
        <v>4</v>
      </c>
      <c r="H41" s="36"/>
      <c r="I41" s="36" t="s">
        <v>8</v>
      </c>
      <c r="J41" s="36" t="s">
        <v>4</v>
      </c>
      <c r="K41" s="36" t="s">
        <v>4</v>
      </c>
      <c r="L41" s="36" t="s">
        <v>4</v>
      </c>
      <c r="M41" s="36" t="s">
        <v>10</v>
      </c>
      <c r="N41" s="36" t="s">
        <v>10</v>
      </c>
      <c r="O41" s="36"/>
      <c r="P41" s="36"/>
      <c r="Q41" s="36"/>
      <c r="R41" s="36"/>
      <c r="S41" s="46"/>
      <c r="T41" s="40">
        <v>0</v>
      </c>
      <c r="U41" s="40">
        <v>0</v>
      </c>
      <c r="V41" s="40">
        <v>1500</v>
      </c>
    </row>
    <row r="42" spans="1:22" ht="19.5" customHeight="1">
      <c r="A42" s="34"/>
      <c r="B42" s="64" t="s">
        <v>73</v>
      </c>
      <c r="C42" s="47" t="s">
        <v>6</v>
      </c>
      <c r="D42" s="47" t="s">
        <v>10</v>
      </c>
      <c r="E42" s="47" t="s">
        <v>4</v>
      </c>
      <c r="F42" s="47" t="s">
        <v>4</v>
      </c>
      <c r="G42" s="47" t="s">
        <v>4</v>
      </c>
      <c r="H42" s="47"/>
      <c r="I42" s="47" t="s">
        <v>10</v>
      </c>
      <c r="J42" s="47" t="s">
        <v>4</v>
      </c>
      <c r="K42" s="47" t="s">
        <v>4</v>
      </c>
      <c r="L42" s="47" t="s">
        <v>10</v>
      </c>
      <c r="M42" s="47" t="s">
        <v>4</v>
      </c>
      <c r="N42" s="47" t="s">
        <v>8</v>
      </c>
      <c r="O42" s="47"/>
      <c r="P42" s="47"/>
      <c r="Q42" s="47"/>
      <c r="R42" s="47"/>
      <c r="S42" s="42"/>
      <c r="T42" s="49">
        <v>300</v>
      </c>
      <c r="U42" s="49">
        <v>0</v>
      </c>
      <c r="V42" s="49">
        <v>1500</v>
      </c>
    </row>
    <row r="43" spans="1:22" ht="19.5" customHeight="1">
      <c r="A43" s="34"/>
      <c r="B43" s="60" t="s">
        <v>74</v>
      </c>
      <c r="C43" s="36" t="s">
        <v>4</v>
      </c>
      <c r="D43" s="36" t="s">
        <v>4</v>
      </c>
      <c r="E43" s="36" t="s">
        <v>10</v>
      </c>
      <c r="F43" s="36" t="s">
        <v>4</v>
      </c>
      <c r="G43" s="36" t="s">
        <v>4</v>
      </c>
      <c r="H43" s="36"/>
      <c r="I43" s="36" t="s">
        <v>4</v>
      </c>
      <c r="J43" s="36" t="s">
        <v>4</v>
      </c>
      <c r="K43" s="36" t="s">
        <v>4</v>
      </c>
      <c r="L43" s="36" t="s">
        <v>4</v>
      </c>
      <c r="M43" s="36" t="s">
        <v>4</v>
      </c>
      <c r="N43" s="36" t="s">
        <v>4</v>
      </c>
      <c r="O43" s="36"/>
      <c r="P43" s="36"/>
      <c r="Q43" s="36"/>
      <c r="R43" s="36"/>
      <c r="S43" s="46"/>
      <c r="T43" s="40">
        <v>0</v>
      </c>
      <c r="U43" s="40">
        <v>0</v>
      </c>
      <c r="V43" s="40">
        <v>500</v>
      </c>
    </row>
    <row r="44" spans="1:22" ht="19.5" customHeight="1">
      <c r="A44" s="34"/>
      <c r="B44" s="64" t="s">
        <v>75</v>
      </c>
      <c r="C44" s="47" t="s">
        <v>4</v>
      </c>
      <c r="D44" s="47" t="s">
        <v>4</v>
      </c>
      <c r="E44" s="47" t="s">
        <v>4</v>
      </c>
      <c r="F44" s="47" t="s">
        <v>10</v>
      </c>
      <c r="G44" s="47" t="s">
        <v>4</v>
      </c>
      <c r="H44" s="47"/>
      <c r="I44" s="47" t="s">
        <v>4</v>
      </c>
      <c r="J44" s="47" t="s">
        <v>4</v>
      </c>
      <c r="K44" s="47" t="s">
        <v>10</v>
      </c>
      <c r="L44" s="47" t="s">
        <v>4</v>
      </c>
      <c r="M44" s="47" t="s">
        <v>4</v>
      </c>
      <c r="N44" s="47" t="s">
        <v>4</v>
      </c>
      <c r="O44" s="47"/>
      <c r="P44" s="47"/>
      <c r="Q44" s="47"/>
      <c r="R44" s="47"/>
      <c r="S44" s="46"/>
      <c r="T44" s="51">
        <v>0</v>
      </c>
      <c r="U44" s="51">
        <v>0</v>
      </c>
      <c r="V44" s="51">
        <v>1000</v>
      </c>
    </row>
    <row r="45" spans="1:22" ht="19.5" customHeight="1">
      <c r="A45" s="34"/>
      <c r="B45" s="64" t="s">
        <v>76</v>
      </c>
      <c r="C45" s="47" t="s">
        <v>4</v>
      </c>
      <c r="D45" s="47" t="s">
        <v>4</v>
      </c>
      <c r="E45" s="47" t="s">
        <v>10</v>
      </c>
      <c r="F45" s="47" t="s">
        <v>4</v>
      </c>
      <c r="G45" s="47" t="s">
        <v>4</v>
      </c>
      <c r="H45" s="47"/>
      <c r="I45" s="47" t="s">
        <v>4</v>
      </c>
      <c r="J45" s="47" t="s">
        <v>4</v>
      </c>
      <c r="K45" s="47" t="s">
        <v>4</v>
      </c>
      <c r="L45" s="47" t="s">
        <v>4</v>
      </c>
      <c r="M45" s="47" t="s">
        <v>10</v>
      </c>
      <c r="N45" s="47" t="s">
        <v>4</v>
      </c>
      <c r="O45" s="47"/>
      <c r="P45" s="47"/>
      <c r="Q45" s="47"/>
      <c r="R45" s="47"/>
      <c r="S45" s="46"/>
      <c r="T45" s="51">
        <v>0</v>
      </c>
      <c r="U45" s="51">
        <v>0</v>
      </c>
      <c r="V45" s="51">
        <v>1000</v>
      </c>
    </row>
    <row r="46" spans="1:22" ht="19.5" customHeight="1">
      <c r="A46" s="34"/>
      <c r="B46" s="64" t="s">
        <v>77</v>
      </c>
      <c r="C46" s="47" t="s">
        <v>4</v>
      </c>
      <c r="D46" s="47" t="s">
        <v>4</v>
      </c>
      <c r="E46" s="47" t="s">
        <v>10</v>
      </c>
      <c r="F46" s="47" t="s">
        <v>4</v>
      </c>
      <c r="G46" s="47" t="s">
        <v>4</v>
      </c>
      <c r="H46" s="47"/>
      <c r="I46" s="47" t="s">
        <v>4</v>
      </c>
      <c r="J46" s="47" t="s">
        <v>4</v>
      </c>
      <c r="K46" s="47" t="s">
        <v>4</v>
      </c>
      <c r="L46" s="47" t="s">
        <v>4</v>
      </c>
      <c r="M46" s="47" t="s">
        <v>4</v>
      </c>
      <c r="N46" s="47" t="s">
        <v>10</v>
      </c>
      <c r="O46" s="47"/>
      <c r="P46" s="47"/>
      <c r="Q46" s="47"/>
      <c r="R46" s="47"/>
      <c r="S46" s="42"/>
      <c r="T46" s="51">
        <v>0</v>
      </c>
      <c r="U46" s="51">
        <v>0</v>
      </c>
      <c r="V46" s="51">
        <v>1000</v>
      </c>
    </row>
    <row r="47" spans="1:22" ht="19.5" customHeight="1">
      <c r="A47" s="34"/>
      <c r="B47" s="64" t="s">
        <v>78</v>
      </c>
      <c r="C47" s="47" t="s">
        <v>4</v>
      </c>
      <c r="D47" s="47" t="s">
        <v>4</v>
      </c>
      <c r="E47" s="47" t="s">
        <v>4</v>
      </c>
      <c r="F47" s="47" t="s">
        <v>4</v>
      </c>
      <c r="G47" s="47" t="s">
        <v>4</v>
      </c>
      <c r="H47" s="47"/>
      <c r="I47" s="47" t="s">
        <v>4</v>
      </c>
      <c r="J47" s="47" t="s">
        <v>4</v>
      </c>
      <c r="K47" s="47" t="s">
        <v>4</v>
      </c>
      <c r="L47" s="47" t="s">
        <v>4</v>
      </c>
      <c r="M47" s="47" t="s">
        <v>4</v>
      </c>
      <c r="N47" s="47" t="s">
        <v>4</v>
      </c>
      <c r="O47" s="47"/>
      <c r="P47" s="47"/>
      <c r="Q47" s="47"/>
      <c r="R47" s="47"/>
      <c r="S47" s="41"/>
      <c r="T47" s="51">
        <v>0</v>
      </c>
      <c r="U47" s="51">
        <v>0</v>
      </c>
      <c r="V47" s="51">
        <v>0</v>
      </c>
    </row>
    <row r="48" spans="1:22" ht="19.5" customHeight="1">
      <c r="A48" s="34"/>
      <c r="B48" s="64" t="s">
        <v>79</v>
      </c>
      <c r="C48" s="47" t="s">
        <v>10</v>
      </c>
      <c r="D48" s="47" t="s">
        <v>6</v>
      </c>
      <c r="E48" s="47" t="s">
        <v>10</v>
      </c>
      <c r="F48" s="47" t="s">
        <v>6</v>
      </c>
      <c r="G48" s="47" t="s">
        <v>10</v>
      </c>
      <c r="H48" s="47"/>
      <c r="I48" s="47" t="s">
        <v>4</v>
      </c>
      <c r="J48" s="47" t="s">
        <v>10</v>
      </c>
      <c r="K48" s="47" t="s">
        <v>10</v>
      </c>
      <c r="L48" s="47" t="s">
        <v>10</v>
      </c>
      <c r="M48" s="47" t="s">
        <v>10</v>
      </c>
      <c r="N48" s="47" t="s">
        <v>10</v>
      </c>
      <c r="O48" s="47"/>
      <c r="P48" s="47"/>
      <c r="Q48" s="47"/>
      <c r="R48" s="47"/>
      <c r="S48" s="42"/>
      <c r="T48" s="51">
        <v>600</v>
      </c>
      <c r="U48" s="51">
        <v>0</v>
      </c>
      <c r="V48" s="51">
        <v>4000</v>
      </c>
    </row>
    <row r="49" spans="1:22" ht="19.5" customHeight="1">
      <c r="A49" s="34"/>
      <c r="B49" s="64" t="s">
        <v>80</v>
      </c>
      <c r="C49" s="47" t="s">
        <v>4</v>
      </c>
      <c r="D49" s="47" t="s">
        <v>4</v>
      </c>
      <c r="E49" s="47" t="s">
        <v>4</v>
      </c>
      <c r="F49" s="47" t="s">
        <v>4</v>
      </c>
      <c r="G49" s="47" t="s">
        <v>4</v>
      </c>
      <c r="H49" s="47"/>
      <c r="I49" s="47" t="s">
        <v>4</v>
      </c>
      <c r="J49" s="47" t="s">
        <v>4</v>
      </c>
      <c r="K49" s="47" t="s">
        <v>4</v>
      </c>
      <c r="L49" s="47" t="s">
        <v>4</v>
      </c>
      <c r="M49" s="47" t="s">
        <v>4</v>
      </c>
      <c r="N49" s="47" t="s">
        <v>4</v>
      </c>
      <c r="O49" s="47"/>
      <c r="P49" s="47"/>
      <c r="Q49" s="47"/>
      <c r="R49" s="47"/>
      <c r="S49" s="41"/>
      <c r="T49" s="51">
        <v>0</v>
      </c>
      <c r="U49" s="51">
        <v>0</v>
      </c>
      <c r="V49" s="51">
        <v>0</v>
      </c>
    </row>
    <row r="50" spans="1:22" ht="19.5" customHeight="1">
      <c r="A50" s="34"/>
      <c r="B50" s="59" t="s">
        <v>81</v>
      </c>
      <c r="C50" s="36" t="s">
        <v>4</v>
      </c>
      <c r="D50" s="36" t="s">
        <v>4</v>
      </c>
      <c r="E50" s="36" t="s">
        <v>4</v>
      </c>
      <c r="F50" s="36" t="s">
        <v>4</v>
      </c>
      <c r="G50" s="36" t="s">
        <v>4</v>
      </c>
      <c r="H50" s="36"/>
      <c r="I50" s="36" t="s">
        <v>4</v>
      </c>
      <c r="J50" s="36" t="s">
        <v>4</v>
      </c>
      <c r="K50" s="36" t="s">
        <v>4</v>
      </c>
      <c r="L50" s="36" t="s">
        <v>4</v>
      </c>
      <c r="M50" s="36" t="s">
        <v>4</v>
      </c>
      <c r="N50" s="36" t="s">
        <v>4</v>
      </c>
      <c r="O50" s="36"/>
      <c r="P50" s="36"/>
      <c r="Q50" s="36"/>
      <c r="R50" s="36"/>
      <c r="S50" s="41"/>
      <c r="T50" s="52">
        <v>0</v>
      </c>
      <c r="U50" s="52">
        <v>0</v>
      </c>
      <c r="V50" s="52">
        <v>0</v>
      </c>
    </row>
    <row r="51" spans="1:22" ht="19.5" customHeight="1">
      <c r="A51" s="34"/>
      <c r="B51" s="64" t="s">
        <v>82</v>
      </c>
      <c r="C51" s="47" t="s">
        <v>4</v>
      </c>
      <c r="D51" s="47" t="s">
        <v>10</v>
      </c>
      <c r="E51" s="47" t="s">
        <v>10</v>
      </c>
      <c r="F51" s="47" t="s">
        <v>4</v>
      </c>
      <c r="G51" s="47" t="s">
        <v>10</v>
      </c>
      <c r="H51" s="47"/>
      <c r="I51" s="47" t="s">
        <v>6</v>
      </c>
      <c r="J51" s="47" t="s">
        <v>4</v>
      </c>
      <c r="K51" s="47" t="s">
        <v>4</v>
      </c>
      <c r="L51" s="47" t="s">
        <v>6</v>
      </c>
      <c r="M51" s="47" t="s">
        <v>10</v>
      </c>
      <c r="N51" s="47" t="s">
        <v>4</v>
      </c>
      <c r="O51" s="47"/>
      <c r="P51" s="47"/>
      <c r="Q51" s="47"/>
      <c r="R51" s="47"/>
      <c r="S51" s="42"/>
      <c r="T51" s="51">
        <v>600</v>
      </c>
      <c r="U51" s="51">
        <v>0</v>
      </c>
      <c r="V51" s="51">
        <v>2000</v>
      </c>
    </row>
    <row r="52" spans="1:22" ht="19.5" customHeight="1">
      <c r="A52" s="34"/>
      <c r="B52" s="60" t="s">
        <v>21</v>
      </c>
      <c r="C52" s="36" t="s">
        <v>4</v>
      </c>
      <c r="D52" s="36" t="s">
        <v>10</v>
      </c>
      <c r="E52" s="36" t="s">
        <v>4</v>
      </c>
      <c r="F52" s="36" t="s">
        <v>8</v>
      </c>
      <c r="G52" s="36" t="s">
        <v>4</v>
      </c>
      <c r="H52" s="36"/>
      <c r="I52" s="36" t="s">
        <v>4</v>
      </c>
      <c r="J52" s="36" t="s">
        <v>10</v>
      </c>
      <c r="K52" s="36" t="s">
        <v>4</v>
      </c>
      <c r="L52" s="36" t="s">
        <v>4</v>
      </c>
      <c r="M52" s="36" t="s">
        <v>4</v>
      </c>
      <c r="N52" s="36" t="s">
        <v>4</v>
      </c>
      <c r="O52" s="36"/>
      <c r="P52" s="36"/>
      <c r="Q52" s="36"/>
      <c r="R52" s="36"/>
      <c r="S52" s="42"/>
      <c r="T52" s="52">
        <v>0</v>
      </c>
      <c r="U52" s="52">
        <v>0</v>
      </c>
      <c r="V52" s="52">
        <v>1000</v>
      </c>
    </row>
    <row r="53" spans="1:22" ht="19.5" customHeight="1">
      <c r="A53" s="34"/>
      <c r="B53" s="60" t="s">
        <v>83</v>
      </c>
      <c r="C53" s="36" t="s">
        <v>4</v>
      </c>
      <c r="D53" s="36" t="s">
        <v>4</v>
      </c>
      <c r="E53" s="36" t="s">
        <v>4</v>
      </c>
      <c r="F53" s="36" t="s">
        <v>4</v>
      </c>
      <c r="G53" s="36" t="s">
        <v>8</v>
      </c>
      <c r="H53" s="36"/>
      <c r="I53" s="36" t="s">
        <v>4</v>
      </c>
      <c r="J53" s="36" t="s">
        <v>4</v>
      </c>
      <c r="K53" s="36" t="s">
        <v>4</v>
      </c>
      <c r="L53" s="36" t="s">
        <v>4</v>
      </c>
      <c r="M53" s="36" t="s">
        <v>4</v>
      </c>
      <c r="N53" s="36" t="s">
        <v>4</v>
      </c>
      <c r="O53" s="36"/>
      <c r="P53" s="36"/>
      <c r="Q53" s="36"/>
      <c r="R53" s="36"/>
      <c r="S53" s="41"/>
      <c r="T53" s="52">
        <v>0</v>
      </c>
      <c r="U53" s="52">
        <v>0</v>
      </c>
      <c r="V53" s="52">
        <v>0</v>
      </c>
    </row>
    <row r="54" spans="1:22" ht="19.5" customHeight="1">
      <c r="A54" s="34"/>
      <c r="B54" s="60" t="s">
        <v>84</v>
      </c>
      <c r="C54" s="36" t="s">
        <v>4</v>
      </c>
      <c r="D54" s="36" t="s">
        <v>10</v>
      </c>
      <c r="E54" s="36" t="s">
        <v>4</v>
      </c>
      <c r="F54" s="36" t="s">
        <v>4</v>
      </c>
      <c r="G54" s="36" t="s">
        <v>4</v>
      </c>
      <c r="H54" s="36"/>
      <c r="I54" s="36" t="s">
        <v>4</v>
      </c>
      <c r="J54" s="36" t="s">
        <v>4</v>
      </c>
      <c r="K54" s="36" t="s">
        <v>4</v>
      </c>
      <c r="L54" s="36" t="s">
        <v>4</v>
      </c>
      <c r="M54" s="36" t="s">
        <v>4</v>
      </c>
      <c r="N54" s="36" t="s">
        <v>4</v>
      </c>
      <c r="O54" s="36"/>
      <c r="P54" s="36"/>
      <c r="Q54" s="36"/>
      <c r="R54" s="36"/>
      <c r="S54" s="46"/>
      <c r="T54" s="52">
        <v>0</v>
      </c>
      <c r="U54" s="52">
        <v>0</v>
      </c>
      <c r="V54" s="52">
        <v>500</v>
      </c>
    </row>
    <row r="55" spans="1:22" ht="19.5" customHeight="1">
      <c r="A55" s="34"/>
      <c r="B55" s="60" t="s">
        <v>54</v>
      </c>
      <c r="C55" s="36" t="s">
        <v>4</v>
      </c>
      <c r="D55" s="36" t="s">
        <v>4</v>
      </c>
      <c r="E55" s="36" t="s">
        <v>4</v>
      </c>
      <c r="F55" s="36" t="s">
        <v>4</v>
      </c>
      <c r="G55" s="36" t="s">
        <v>4</v>
      </c>
      <c r="H55" s="36"/>
      <c r="I55" s="36" t="s">
        <v>4</v>
      </c>
      <c r="J55" s="36" t="s">
        <v>4</v>
      </c>
      <c r="K55" s="36" t="s">
        <v>4</v>
      </c>
      <c r="L55" s="36" t="s">
        <v>4</v>
      </c>
      <c r="M55" s="36" t="s">
        <v>4</v>
      </c>
      <c r="N55" s="36" t="s">
        <v>4</v>
      </c>
      <c r="O55" s="36"/>
      <c r="P55" s="36"/>
      <c r="Q55" s="36"/>
      <c r="R55" s="36"/>
      <c r="S55" s="41"/>
      <c r="T55" s="52">
        <v>0</v>
      </c>
      <c r="U55" s="52">
        <v>0</v>
      </c>
      <c r="V55" s="52">
        <v>0</v>
      </c>
    </row>
    <row r="56" spans="1:22" ht="19.5" customHeight="1">
      <c r="A56" s="34"/>
      <c r="B56" s="64" t="s">
        <v>85</v>
      </c>
      <c r="C56" s="47" t="s">
        <v>10</v>
      </c>
      <c r="D56" s="47" t="s">
        <v>4</v>
      </c>
      <c r="E56" s="47" t="s">
        <v>4</v>
      </c>
      <c r="F56" s="47" t="s">
        <v>4</v>
      </c>
      <c r="G56" s="47" t="s">
        <v>4</v>
      </c>
      <c r="H56" s="47"/>
      <c r="I56" s="47" t="s">
        <v>4</v>
      </c>
      <c r="J56" s="47" t="s">
        <v>4</v>
      </c>
      <c r="K56" s="47" t="s">
        <v>4</v>
      </c>
      <c r="L56" s="47" t="s">
        <v>4</v>
      </c>
      <c r="M56" s="47" t="s">
        <v>4</v>
      </c>
      <c r="N56" s="47" t="s">
        <v>4</v>
      </c>
      <c r="O56" s="47"/>
      <c r="P56" s="47"/>
      <c r="Q56" s="47"/>
      <c r="R56" s="47"/>
      <c r="S56" s="46"/>
      <c r="T56" s="51">
        <v>0</v>
      </c>
      <c r="U56" s="51">
        <v>0</v>
      </c>
      <c r="V56" s="51">
        <v>500</v>
      </c>
    </row>
    <row r="57" spans="1:22" ht="19.5" customHeight="1">
      <c r="A57" s="34"/>
      <c r="B57" s="64" t="s">
        <v>86</v>
      </c>
      <c r="C57" s="47" t="s">
        <v>4</v>
      </c>
      <c r="D57" s="47" t="s">
        <v>4</v>
      </c>
      <c r="E57" s="47" t="s">
        <v>4</v>
      </c>
      <c r="F57" s="47" t="s">
        <v>4</v>
      </c>
      <c r="G57" s="47" t="s">
        <v>4</v>
      </c>
      <c r="H57" s="47"/>
      <c r="I57" s="47" t="s">
        <v>4</v>
      </c>
      <c r="J57" s="47" t="s">
        <v>4</v>
      </c>
      <c r="K57" s="47" t="s">
        <v>4</v>
      </c>
      <c r="L57" s="47" t="s">
        <v>4</v>
      </c>
      <c r="M57" s="47" t="s">
        <v>4</v>
      </c>
      <c r="N57" s="47" t="s">
        <v>4</v>
      </c>
      <c r="O57" s="47"/>
      <c r="P57" s="47"/>
      <c r="Q57" s="47"/>
      <c r="R57" s="47"/>
      <c r="S57" s="41"/>
      <c r="T57" s="51">
        <v>0</v>
      </c>
      <c r="U57" s="51">
        <v>0</v>
      </c>
      <c r="V57" s="51">
        <v>0</v>
      </c>
    </row>
    <row r="58" spans="1:22" ht="19.5" customHeight="1">
      <c r="A58" s="34"/>
      <c r="B58" s="60" t="s">
        <v>59</v>
      </c>
      <c r="C58" s="36" t="s">
        <v>4</v>
      </c>
      <c r="D58" s="36" t="s">
        <v>10</v>
      </c>
      <c r="E58" s="36" t="s">
        <v>4</v>
      </c>
      <c r="F58" s="36" t="s">
        <v>4</v>
      </c>
      <c r="G58" s="36" t="s">
        <v>4</v>
      </c>
      <c r="H58" s="36"/>
      <c r="I58" s="36" t="s">
        <v>6</v>
      </c>
      <c r="J58" s="36" t="s">
        <v>4</v>
      </c>
      <c r="K58" s="36" t="s">
        <v>10</v>
      </c>
      <c r="L58" s="36" t="s">
        <v>4</v>
      </c>
      <c r="M58" s="36" t="s">
        <v>4</v>
      </c>
      <c r="N58" s="36" t="s">
        <v>6</v>
      </c>
      <c r="O58" s="36"/>
      <c r="P58" s="36"/>
      <c r="Q58" s="36"/>
      <c r="R58" s="36"/>
      <c r="S58" s="46"/>
      <c r="T58" s="52">
        <v>600</v>
      </c>
      <c r="U58" s="52">
        <v>0</v>
      </c>
      <c r="V58" s="52">
        <v>500</v>
      </c>
    </row>
    <row r="59" spans="1:22" ht="19.5" customHeight="1">
      <c r="A59" s="34"/>
      <c r="B59" s="64" t="s">
        <v>87</v>
      </c>
      <c r="C59" s="47" t="s">
        <v>4</v>
      </c>
      <c r="D59" s="47" t="s">
        <v>4</v>
      </c>
      <c r="E59" s="47" t="s">
        <v>4</v>
      </c>
      <c r="F59" s="47" t="s">
        <v>4</v>
      </c>
      <c r="G59" s="47" t="s">
        <v>4</v>
      </c>
      <c r="H59" s="47"/>
      <c r="I59" s="47" t="s">
        <v>4</v>
      </c>
      <c r="J59" s="47" t="s">
        <v>4</v>
      </c>
      <c r="K59" s="47" t="s">
        <v>4</v>
      </c>
      <c r="L59" s="47" t="s">
        <v>10</v>
      </c>
      <c r="M59" s="47" t="s">
        <v>4</v>
      </c>
      <c r="N59" s="47" t="s">
        <v>4</v>
      </c>
      <c r="O59" s="47"/>
      <c r="P59" s="47"/>
      <c r="Q59" s="47"/>
      <c r="R59" s="47"/>
      <c r="S59" s="46"/>
      <c r="T59" s="51">
        <v>0</v>
      </c>
      <c r="U59" s="51">
        <v>0</v>
      </c>
      <c r="V59" s="51">
        <v>500</v>
      </c>
    </row>
    <row r="60" spans="1:22" ht="19.5" customHeight="1">
      <c r="A60" s="34"/>
      <c r="B60" s="64" t="s">
        <v>88</v>
      </c>
      <c r="C60" s="47" t="s">
        <v>10</v>
      </c>
      <c r="D60" s="47" t="s">
        <v>10</v>
      </c>
      <c r="E60" s="47" t="s">
        <v>4</v>
      </c>
      <c r="F60" s="47" t="s">
        <v>10</v>
      </c>
      <c r="G60" s="47" t="s">
        <v>4</v>
      </c>
      <c r="H60" s="47"/>
      <c r="I60" s="47" t="s">
        <v>4</v>
      </c>
      <c r="J60" s="47" t="s">
        <v>4</v>
      </c>
      <c r="K60" s="47" t="s">
        <v>4</v>
      </c>
      <c r="L60" s="47" t="s">
        <v>4</v>
      </c>
      <c r="M60" s="47" t="s">
        <v>4</v>
      </c>
      <c r="N60" s="47" t="s">
        <v>10</v>
      </c>
      <c r="O60" s="47"/>
      <c r="P60" s="47"/>
      <c r="Q60" s="47"/>
      <c r="R60" s="47"/>
      <c r="S60" s="42"/>
      <c r="T60" s="51">
        <v>0</v>
      </c>
      <c r="U60" s="51">
        <v>0</v>
      </c>
      <c r="V60" s="51">
        <v>2000</v>
      </c>
    </row>
    <row r="61" spans="1:22" ht="19.5" customHeight="1">
      <c r="A61" s="34"/>
      <c r="B61" s="60" t="s">
        <v>89</v>
      </c>
      <c r="C61" s="36" t="s">
        <v>6</v>
      </c>
      <c r="D61" s="36" t="s">
        <v>10</v>
      </c>
      <c r="E61" s="36" t="s">
        <v>10</v>
      </c>
      <c r="F61" s="36" t="s">
        <v>10</v>
      </c>
      <c r="G61" s="36" t="s">
        <v>4</v>
      </c>
      <c r="H61" s="36"/>
      <c r="I61" s="36" t="s">
        <v>10</v>
      </c>
      <c r="J61" s="36" t="s">
        <v>4</v>
      </c>
      <c r="K61" s="36" t="s">
        <v>10</v>
      </c>
      <c r="L61" s="36" t="s">
        <v>10</v>
      </c>
      <c r="M61" s="36" t="s">
        <v>10</v>
      </c>
      <c r="N61" s="36" t="s">
        <v>4</v>
      </c>
      <c r="O61" s="36"/>
      <c r="P61" s="36"/>
      <c r="Q61" s="36"/>
      <c r="R61" s="36"/>
      <c r="S61" s="46"/>
      <c r="T61" s="52">
        <v>300</v>
      </c>
      <c r="U61" s="52">
        <v>0</v>
      </c>
      <c r="V61" s="52">
        <v>3500</v>
      </c>
    </row>
    <row r="62" spans="1:22" ht="19.5" customHeight="1">
      <c r="A62" s="34"/>
      <c r="B62" s="60" t="s">
        <v>90</v>
      </c>
      <c r="C62" s="36" t="s">
        <v>4</v>
      </c>
      <c r="D62" s="36" t="s">
        <v>4</v>
      </c>
      <c r="E62" s="36" t="s">
        <v>4</v>
      </c>
      <c r="F62" s="36" t="s">
        <v>4</v>
      </c>
      <c r="G62" s="36" t="s">
        <v>4</v>
      </c>
      <c r="H62" s="36"/>
      <c r="I62" s="36" t="s">
        <v>8</v>
      </c>
      <c r="J62" s="36" t="s">
        <v>10</v>
      </c>
      <c r="K62" s="36" t="s">
        <v>4</v>
      </c>
      <c r="L62" s="36" t="s">
        <v>4</v>
      </c>
      <c r="M62" s="36" t="s">
        <v>4</v>
      </c>
      <c r="N62" s="36" t="s">
        <v>4</v>
      </c>
      <c r="O62" s="36"/>
      <c r="P62" s="36"/>
      <c r="Q62" s="36"/>
      <c r="R62" s="36"/>
      <c r="S62" s="46"/>
      <c r="T62" s="52">
        <v>0</v>
      </c>
      <c r="U62" s="52">
        <v>0</v>
      </c>
      <c r="V62" s="52">
        <v>500</v>
      </c>
    </row>
    <row r="63" spans="1:22" ht="19.5" customHeight="1">
      <c r="A63" s="34"/>
      <c r="B63" s="64" t="s">
        <v>91</v>
      </c>
      <c r="C63" s="47" t="s">
        <v>4</v>
      </c>
      <c r="D63" s="47" t="s">
        <v>4</v>
      </c>
      <c r="E63" s="47" t="s">
        <v>4</v>
      </c>
      <c r="F63" s="47" t="s">
        <v>4</v>
      </c>
      <c r="G63" s="47" t="s">
        <v>10</v>
      </c>
      <c r="H63" s="47"/>
      <c r="I63" s="47" t="s">
        <v>4</v>
      </c>
      <c r="J63" s="47" t="s">
        <v>4</v>
      </c>
      <c r="K63" s="47" t="s">
        <v>6</v>
      </c>
      <c r="L63" s="47" t="s">
        <v>4</v>
      </c>
      <c r="M63" s="47" t="s">
        <v>6</v>
      </c>
      <c r="N63" s="47" t="s">
        <v>4</v>
      </c>
      <c r="O63" s="47"/>
      <c r="P63" s="47"/>
      <c r="Q63" s="47"/>
      <c r="R63" s="47"/>
      <c r="S63" s="42"/>
      <c r="T63" s="51">
        <v>600</v>
      </c>
      <c r="U63" s="51">
        <v>0</v>
      </c>
      <c r="V63" s="51">
        <v>500</v>
      </c>
    </row>
    <row r="64" spans="1:22" ht="19.5" customHeight="1">
      <c r="A64" s="34"/>
      <c r="B64" s="60" t="s">
        <v>89</v>
      </c>
      <c r="C64" s="36" t="s">
        <v>4</v>
      </c>
      <c r="D64" s="36" t="s">
        <v>10</v>
      </c>
      <c r="E64" s="36" t="s">
        <v>4</v>
      </c>
      <c r="F64" s="36" t="s">
        <v>10</v>
      </c>
      <c r="G64" s="36" t="s">
        <v>6</v>
      </c>
      <c r="H64" s="36"/>
      <c r="I64" s="36" t="s">
        <v>8</v>
      </c>
      <c r="J64" s="36" t="s">
        <v>4</v>
      </c>
      <c r="K64" s="36" t="s">
        <v>4</v>
      </c>
      <c r="L64" s="36" t="s">
        <v>4</v>
      </c>
      <c r="M64" s="36" t="s">
        <v>4</v>
      </c>
      <c r="N64" s="36" t="s">
        <v>10</v>
      </c>
      <c r="O64" s="36"/>
      <c r="P64" s="36"/>
      <c r="Q64" s="36"/>
      <c r="R64" s="36"/>
      <c r="S64" s="42"/>
      <c r="T64" s="52">
        <v>600</v>
      </c>
      <c r="U64" s="52">
        <v>0</v>
      </c>
      <c r="V64" s="52">
        <v>1500</v>
      </c>
    </row>
    <row r="65" spans="1:22" ht="19.5" customHeight="1">
      <c r="A65" s="34"/>
      <c r="B65" s="60" t="s">
        <v>92</v>
      </c>
      <c r="C65" s="36" t="s">
        <v>4</v>
      </c>
      <c r="D65" s="36" t="s">
        <v>4</v>
      </c>
      <c r="E65" s="36" t="s">
        <v>4</v>
      </c>
      <c r="F65" s="36" t="s">
        <v>4</v>
      </c>
      <c r="G65" s="36" t="s">
        <v>4</v>
      </c>
      <c r="H65" s="36"/>
      <c r="I65" s="36" t="s">
        <v>4</v>
      </c>
      <c r="J65" s="36" t="s">
        <v>4</v>
      </c>
      <c r="K65" s="36" t="s">
        <v>4</v>
      </c>
      <c r="L65" s="36" t="s">
        <v>4</v>
      </c>
      <c r="M65" s="36" t="s">
        <v>4</v>
      </c>
      <c r="N65" s="36" t="s">
        <v>4</v>
      </c>
      <c r="O65" s="36"/>
      <c r="P65" s="36"/>
      <c r="Q65" s="36"/>
      <c r="R65" s="36"/>
      <c r="S65" s="41"/>
      <c r="T65" s="52">
        <v>0</v>
      </c>
      <c r="U65" s="52">
        <v>0</v>
      </c>
      <c r="V65" s="52">
        <v>0</v>
      </c>
    </row>
    <row r="66" spans="1:22" ht="19.5" customHeight="1">
      <c r="A66" s="34"/>
      <c r="B66" s="60" t="s">
        <v>93</v>
      </c>
      <c r="C66" s="36" t="s">
        <v>4</v>
      </c>
      <c r="D66" s="36" t="s">
        <v>4</v>
      </c>
      <c r="E66" s="36" t="s">
        <v>4</v>
      </c>
      <c r="F66" s="36" t="s">
        <v>4</v>
      </c>
      <c r="G66" s="36" t="s">
        <v>4</v>
      </c>
      <c r="H66" s="36"/>
      <c r="I66" s="36" t="s">
        <v>4</v>
      </c>
      <c r="J66" s="36" t="s">
        <v>4</v>
      </c>
      <c r="K66" s="36" t="s">
        <v>10</v>
      </c>
      <c r="L66" s="36" t="s">
        <v>6</v>
      </c>
      <c r="M66" s="36" t="s">
        <v>4</v>
      </c>
      <c r="N66" s="36" t="s">
        <v>6</v>
      </c>
      <c r="O66" s="36"/>
      <c r="P66" s="36"/>
      <c r="Q66" s="36"/>
      <c r="R66" s="36"/>
      <c r="S66" s="42"/>
      <c r="T66" s="52">
        <v>600</v>
      </c>
      <c r="U66" s="52">
        <v>0</v>
      </c>
      <c r="V66" s="52">
        <v>500</v>
      </c>
    </row>
    <row r="67" spans="1:22" ht="19.5" customHeight="1">
      <c r="A67" s="34"/>
      <c r="B67" s="64" t="s">
        <v>94</v>
      </c>
      <c r="C67" s="47" t="s">
        <v>4</v>
      </c>
      <c r="D67" s="47" t="s">
        <v>4</v>
      </c>
      <c r="E67" s="47" t="s">
        <v>4</v>
      </c>
      <c r="F67" s="47" t="s">
        <v>4</v>
      </c>
      <c r="G67" s="47" t="s">
        <v>10</v>
      </c>
      <c r="H67" s="47"/>
      <c r="I67" s="47" t="s">
        <v>4</v>
      </c>
      <c r="J67" s="47" t="s">
        <v>4</v>
      </c>
      <c r="K67" s="47" t="s">
        <v>10</v>
      </c>
      <c r="L67" s="47" t="s">
        <v>4</v>
      </c>
      <c r="M67" s="47" t="s">
        <v>4</v>
      </c>
      <c r="N67" s="47" t="s">
        <v>4</v>
      </c>
      <c r="O67" s="47"/>
      <c r="P67" s="47"/>
      <c r="Q67" s="47"/>
      <c r="R67" s="47"/>
      <c r="S67" s="46"/>
      <c r="T67" s="51">
        <v>0</v>
      </c>
      <c r="U67" s="51">
        <v>0</v>
      </c>
      <c r="V67" s="51">
        <v>1000</v>
      </c>
    </row>
    <row r="68" spans="1:22" ht="19.5" customHeight="1">
      <c r="A68" s="34"/>
      <c r="B68" s="64" t="s">
        <v>95</v>
      </c>
      <c r="C68" s="47" t="s">
        <v>4</v>
      </c>
      <c r="D68" s="47" t="s">
        <v>4</v>
      </c>
      <c r="E68" s="47" t="s">
        <v>4</v>
      </c>
      <c r="F68" s="47" t="s">
        <v>4</v>
      </c>
      <c r="G68" s="47" t="s">
        <v>6</v>
      </c>
      <c r="H68" s="47"/>
      <c r="I68" s="47" t="s">
        <v>10</v>
      </c>
      <c r="J68" s="47" t="s">
        <v>4</v>
      </c>
      <c r="K68" s="47" t="s">
        <v>4</v>
      </c>
      <c r="L68" s="47" t="s">
        <v>4</v>
      </c>
      <c r="M68" s="47" t="s">
        <v>4</v>
      </c>
      <c r="N68" s="47" t="s">
        <v>4</v>
      </c>
      <c r="O68" s="47"/>
      <c r="P68" s="47"/>
      <c r="Q68" s="47"/>
      <c r="R68" s="47"/>
      <c r="S68" s="42"/>
      <c r="T68" s="51">
        <v>300</v>
      </c>
      <c r="U68" s="51">
        <v>0</v>
      </c>
      <c r="V68" s="51">
        <v>500</v>
      </c>
    </row>
    <row r="69" spans="1:22" ht="19.5" customHeight="1">
      <c r="A69" s="34"/>
      <c r="B69" s="60" t="s">
        <v>96</v>
      </c>
      <c r="C69" s="36" t="s">
        <v>4</v>
      </c>
      <c r="D69" s="36" t="s">
        <v>4</v>
      </c>
      <c r="E69" s="36" t="s">
        <v>10</v>
      </c>
      <c r="F69" s="36" t="s">
        <v>10</v>
      </c>
      <c r="G69" s="37" t="s">
        <v>4</v>
      </c>
      <c r="H69" s="36"/>
      <c r="I69" s="36" t="s">
        <v>6</v>
      </c>
      <c r="J69" s="36" t="s">
        <v>4</v>
      </c>
      <c r="K69" s="36" t="s">
        <v>4</v>
      </c>
      <c r="L69" s="36" t="s">
        <v>4</v>
      </c>
      <c r="M69" s="36" t="s">
        <v>10</v>
      </c>
      <c r="N69" s="36" t="s">
        <v>4</v>
      </c>
      <c r="O69" s="36"/>
      <c r="P69" s="36"/>
      <c r="Q69" s="36"/>
      <c r="R69" s="36"/>
      <c r="S69" s="42"/>
      <c r="T69" s="52">
        <v>300</v>
      </c>
      <c r="U69" s="52">
        <v>0</v>
      </c>
      <c r="V69" s="52">
        <v>1500</v>
      </c>
    </row>
    <row r="70" spans="1:22" ht="19.5" customHeight="1">
      <c r="A70" s="34"/>
      <c r="B70" s="60" t="s">
        <v>97</v>
      </c>
      <c r="C70" s="36" t="s">
        <v>4</v>
      </c>
      <c r="D70" s="36" t="s">
        <v>4</v>
      </c>
      <c r="E70" s="36" t="s">
        <v>8</v>
      </c>
      <c r="F70" s="36" t="s">
        <v>4</v>
      </c>
      <c r="G70" s="37" t="s">
        <v>8</v>
      </c>
      <c r="H70" s="36"/>
      <c r="I70" s="36" t="s">
        <v>4</v>
      </c>
      <c r="J70" s="36" t="s">
        <v>10</v>
      </c>
      <c r="K70" s="36" t="s">
        <v>10</v>
      </c>
      <c r="L70" s="36" t="s">
        <v>4</v>
      </c>
      <c r="M70" s="36" t="s">
        <v>4</v>
      </c>
      <c r="N70" s="36" t="s">
        <v>4</v>
      </c>
      <c r="O70" s="36"/>
      <c r="P70" s="36"/>
      <c r="Q70" s="36"/>
      <c r="R70" s="36"/>
      <c r="S70" s="42"/>
      <c r="T70" s="52">
        <v>0</v>
      </c>
      <c r="U70" s="52">
        <v>0</v>
      </c>
      <c r="V70" s="52">
        <v>1000</v>
      </c>
    </row>
    <row r="71" spans="1:22" ht="19.5" customHeight="1">
      <c r="A71" s="34"/>
      <c r="B71" s="64" t="s">
        <v>98</v>
      </c>
      <c r="C71" s="47" t="s">
        <v>6</v>
      </c>
      <c r="D71" s="47" t="s">
        <v>4</v>
      </c>
      <c r="E71" s="47" t="s">
        <v>10</v>
      </c>
      <c r="F71" s="47" t="s">
        <v>4</v>
      </c>
      <c r="G71" s="47" t="s">
        <v>10</v>
      </c>
      <c r="H71" s="47"/>
      <c r="I71" s="47" t="s">
        <v>4</v>
      </c>
      <c r="J71" s="47" t="s">
        <v>10</v>
      </c>
      <c r="K71" s="47" t="s">
        <v>10</v>
      </c>
      <c r="L71" s="47" t="s">
        <v>4</v>
      </c>
      <c r="M71" s="47" t="s">
        <v>4</v>
      </c>
      <c r="N71" s="47" t="s">
        <v>10</v>
      </c>
      <c r="O71" s="47"/>
      <c r="P71" s="47"/>
      <c r="Q71" s="47"/>
      <c r="R71" s="47"/>
      <c r="S71" s="46"/>
      <c r="T71" s="51">
        <v>300</v>
      </c>
      <c r="U71" s="51">
        <v>0</v>
      </c>
      <c r="V71" s="51">
        <v>1500</v>
      </c>
    </row>
    <row r="72" spans="1:22" ht="19.5" customHeight="1">
      <c r="A72" s="34"/>
      <c r="B72" s="60" t="s">
        <v>99</v>
      </c>
      <c r="C72" s="36" t="s">
        <v>4</v>
      </c>
      <c r="D72" s="36" t="s">
        <v>10</v>
      </c>
      <c r="E72" s="36" t="s">
        <v>4</v>
      </c>
      <c r="F72" s="36" t="s">
        <v>4</v>
      </c>
      <c r="G72" s="37" t="s">
        <v>4</v>
      </c>
      <c r="H72" s="36"/>
      <c r="I72" s="36" t="s">
        <v>4</v>
      </c>
      <c r="J72" s="36" t="s">
        <v>4</v>
      </c>
      <c r="K72" s="36" t="s">
        <v>22</v>
      </c>
      <c r="L72" s="36" t="s">
        <v>22</v>
      </c>
      <c r="M72" s="36" t="s">
        <v>22</v>
      </c>
      <c r="N72" s="36" t="s">
        <v>22</v>
      </c>
      <c r="O72" s="36"/>
      <c r="P72" s="36"/>
      <c r="Q72" s="36"/>
      <c r="R72" s="36"/>
      <c r="S72" s="46"/>
      <c r="T72" s="52">
        <v>0</v>
      </c>
      <c r="U72" s="52">
        <v>0</v>
      </c>
      <c r="V72" s="52">
        <v>500</v>
      </c>
    </row>
    <row r="73" spans="1:22" ht="19.5" customHeight="1">
      <c r="A73" s="34"/>
      <c r="B73" s="60" t="s">
        <v>100</v>
      </c>
      <c r="C73" s="36" t="s">
        <v>4</v>
      </c>
      <c r="D73" s="36" t="s">
        <v>6</v>
      </c>
      <c r="E73" s="36" t="s">
        <v>4</v>
      </c>
      <c r="F73" s="36" t="s">
        <v>10</v>
      </c>
      <c r="G73" s="37" t="s">
        <v>10</v>
      </c>
      <c r="H73" s="44"/>
      <c r="I73" s="36" t="s">
        <v>6</v>
      </c>
      <c r="J73" s="36" t="s">
        <v>4</v>
      </c>
      <c r="K73" s="36" t="s">
        <v>4</v>
      </c>
      <c r="L73" s="36" t="s">
        <v>4</v>
      </c>
      <c r="M73" s="36" t="s">
        <v>4</v>
      </c>
      <c r="N73" s="36" t="s">
        <v>4</v>
      </c>
      <c r="O73" s="36"/>
      <c r="P73" s="36"/>
      <c r="Q73" s="36"/>
      <c r="R73" s="36"/>
      <c r="S73" s="46"/>
      <c r="T73" s="52">
        <v>600</v>
      </c>
      <c r="U73" s="52">
        <v>0</v>
      </c>
      <c r="V73" s="52">
        <v>1000</v>
      </c>
    </row>
    <row r="74" spans="1:22" ht="19.5" customHeight="1">
      <c r="A74" s="34"/>
      <c r="B74" s="60" t="s">
        <v>101</v>
      </c>
      <c r="C74" s="36" t="s">
        <v>4</v>
      </c>
      <c r="D74" s="36" t="s">
        <v>10</v>
      </c>
      <c r="E74" s="36" t="s">
        <v>10</v>
      </c>
      <c r="F74" s="36" t="s">
        <v>10</v>
      </c>
      <c r="G74" s="37" t="s">
        <v>6</v>
      </c>
      <c r="H74" s="35"/>
      <c r="I74" s="36" t="s">
        <v>6</v>
      </c>
      <c r="J74" s="36" t="s">
        <v>6</v>
      </c>
      <c r="K74" s="36" t="s">
        <v>10</v>
      </c>
      <c r="L74" s="36" t="s">
        <v>4</v>
      </c>
      <c r="M74" s="36" t="s">
        <v>4</v>
      </c>
      <c r="N74" s="36" t="s">
        <v>4</v>
      </c>
      <c r="O74" s="36"/>
      <c r="P74" s="36"/>
      <c r="Q74" s="36"/>
      <c r="R74" s="36"/>
      <c r="S74" s="46"/>
      <c r="T74" s="52">
        <v>900</v>
      </c>
      <c r="U74" s="52">
        <v>0</v>
      </c>
      <c r="V74" s="52">
        <v>2000</v>
      </c>
    </row>
    <row r="75" spans="1:22" ht="19.5" customHeight="1">
      <c r="A75" s="34"/>
      <c r="B75" s="64" t="s">
        <v>102</v>
      </c>
      <c r="C75" s="36" t="s">
        <v>4</v>
      </c>
      <c r="D75" s="36" t="s">
        <v>4</v>
      </c>
      <c r="E75" s="36" t="s">
        <v>4</v>
      </c>
      <c r="F75" s="36" t="s">
        <v>4</v>
      </c>
      <c r="G75" s="36" t="s">
        <v>4</v>
      </c>
      <c r="H75" s="36"/>
      <c r="I75" s="36" t="s">
        <v>4</v>
      </c>
      <c r="J75" s="36" t="s">
        <v>4</v>
      </c>
      <c r="K75" s="36" t="s">
        <v>4</v>
      </c>
      <c r="L75" s="36" t="s">
        <v>4</v>
      </c>
      <c r="M75" s="36" t="s">
        <v>4</v>
      </c>
      <c r="N75" s="36" t="s">
        <v>10</v>
      </c>
      <c r="O75" s="36"/>
      <c r="P75" s="36"/>
      <c r="Q75" s="36"/>
      <c r="R75" s="36"/>
      <c r="S75" s="42"/>
      <c r="T75" s="52">
        <v>0</v>
      </c>
      <c r="U75" s="52">
        <v>0</v>
      </c>
      <c r="V75" s="52">
        <v>500</v>
      </c>
    </row>
    <row r="76" spans="1:22" ht="19.5" customHeight="1">
      <c r="A76" s="34"/>
      <c r="B76" s="64" t="s">
        <v>103</v>
      </c>
      <c r="C76" s="36" t="s">
        <v>4</v>
      </c>
      <c r="D76" s="36" t="s">
        <v>4</v>
      </c>
      <c r="E76" s="36" t="s">
        <v>4</v>
      </c>
      <c r="F76" s="36" t="s">
        <v>4</v>
      </c>
      <c r="G76" s="36" t="s">
        <v>4</v>
      </c>
      <c r="H76" s="36"/>
      <c r="I76" s="36" t="s">
        <v>4</v>
      </c>
      <c r="J76" s="36" t="s">
        <v>4</v>
      </c>
      <c r="K76" s="36" t="s">
        <v>4</v>
      </c>
      <c r="L76" s="36"/>
      <c r="M76" s="36" t="s">
        <v>10</v>
      </c>
      <c r="N76" s="36" t="s">
        <v>10</v>
      </c>
      <c r="O76" s="36"/>
      <c r="P76" s="36"/>
      <c r="Q76" s="36"/>
      <c r="R76" s="36"/>
      <c r="S76" s="42"/>
      <c r="T76" s="52">
        <v>0</v>
      </c>
      <c r="U76" s="52">
        <v>0</v>
      </c>
      <c r="V76" s="52">
        <v>1000</v>
      </c>
    </row>
    <row r="77" spans="1:22" ht="19.5" customHeight="1">
      <c r="A77" s="34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53"/>
      <c r="U77" s="53"/>
      <c r="V77" s="53"/>
    </row>
    <row r="78" spans="1:22" ht="19.5" customHeight="1">
      <c r="A78" s="54"/>
      <c r="B78" s="55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56"/>
      <c r="U78" s="56"/>
      <c r="V78" s="56"/>
    </row>
    <row r="79" spans="1:22" ht="19.5" customHeight="1">
      <c r="A79" s="54"/>
      <c r="B79" s="55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56"/>
      <c r="U79" s="56"/>
      <c r="V79" s="56"/>
    </row>
    <row r="80" spans="1:22" ht="19.5" customHeight="1">
      <c r="A80" s="54"/>
      <c r="B80" s="5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56"/>
      <c r="U80" s="56"/>
      <c r="V80" s="56"/>
    </row>
    <row r="81" spans="1:22" ht="19.5" customHeight="1">
      <c r="A81" s="54"/>
      <c r="B81" s="55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56"/>
      <c r="U81" s="56"/>
      <c r="V81" s="56"/>
    </row>
    <row r="82" spans="1:22" ht="19.5" customHeight="1">
      <c r="A82" s="54"/>
      <c r="B82" s="55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56"/>
      <c r="U82" s="56"/>
      <c r="V82" s="56"/>
    </row>
    <row r="83" spans="1:22" ht="19.5" customHeight="1">
      <c r="A83" s="54"/>
      <c r="B83" s="55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56"/>
      <c r="U83" s="56"/>
      <c r="V83" s="56"/>
    </row>
    <row r="84" spans="1:22" ht="19.5" customHeight="1">
      <c r="A84" s="54"/>
      <c r="B84" s="5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56"/>
      <c r="U84" s="56"/>
      <c r="V84" s="56"/>
    </row>
    <row r="85" spans="1:22" ht="19.5" customHeight="1">
      <c r="A85" s="54"/>
      <c r="B85" s="5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56"/>
      <c r="U85" s="56"/>
      <c r="V85" s="56"/>
    </row>
    <row r="86" spans="1:22" ht="19.5" customHeight="1">
      <c r="A86" s="54"/>
      <c r="B86" s="5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56"/>
      <c r="U86" s="56"/>
      <c r="V86" s="56"/>
    </row>
    <row r="87" spans="1:22" ht="19.5" customHeight="1">
      <c r="A87" s="54"/>
      <c r="B87" s="5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56"/>
      <c r="U87" s="56"/>
      <c r="V87" s="56"/>
    </row>
    <row r="88" spans="1:22" ht="19.5" customHeight="1">
      <c r="A88" s="54"/>
      <c r="B88" s="5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56"/>
      <c r="U88" s="56"/>
      <c r="V88" s="56"/>
    </row>
    <row r="89" spans="1:22" ht="19.5" customHeight="1">
      <c r="A89" s="54"/>
      <c r="B89" s="5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56"/>
      <c r="U89" s="56"/>
      <c r="V89" s="56"/>
    </row>
    <row r="90" spans="1:22" ht="19.5" customHeight="1">
      <c r="A90" s="54"/>
      <c r="B90" s="5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56"/>
      <c r="U90" s="56"/>
      <c r="V90" s="56"/>
    </row>
    <row r="91" spans="1:22" ht="19.5" customHeight="1">
      <c r="A91" s="54"/>
      <c r="B91" s="55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56"/>
      <c r="U91" s="56"/>
      <c r="V91" s="56"/>
    </row>
    <row r="92" spans="1:22" ht="19.5" customHeight="1">
      <c r="A92" s="54"/>
      <c r="B92" s="55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56"/>
      <c r="U92" s="56"/>
      <c r="V92" s="56"/>
    </row>
    <row r="93" spans="1:22" ht="19.5" customHeight="1">
      <c r="A93" s="54"/>
      <c r="B93" s="55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56"/>
      <c r="U93" s="56"/>
      <c r="V93" s="56"/>
    </row>
    <row r="94" spans="1:22" ht="19.5" customHeight="1">
      <c r="A94" s="54"/>
      <c r="B94" s="55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56"/>
      <c r="U94" s="56"/>
      <c r="V94" s="56"/>
    </row>
    <row r="95" spans="1:22" ht="19.5" customHeight="1">
      <c r="A95" s="54"/>
      <c r="B95" s="55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56"/>
      <c r="U95" s="56"/>
      <c r="V95" s="56"/>
    </row>
    <row r="96" spans="1:22" ht="19.5" customHeight="1">
      <c r="A96" s="54"/>
      <c r="B96" s="55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56"/>
      <c r="U96" s="56"/>
      <c r="V96" s="56"/>
    </row>
    <row r="97" spans="1:22" ht="19.5" customHeight="1">
      <c r="A97" s="54"/>
      <c r="B97" s="55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56"/>
      <c r="U97" s="56"/>
      <c r="V97" s="56"/>
    </row>
    <row r="98" spans="1:22" ht="19.5" customHeight="1">
      <c r="A98" s="54"/>
      <c r="B98" s="55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56"/>
      <c r="U98" s="56"/>
      <c r="V98" s="56"/>
    </row>
    <row r="99" spans="1:22" ht="19.5" customHeight="1">
      <c r="A99" s="54"/>
      <c r="B99" s="55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56"/>
      <c r="U99" s="56"/>
      <c r="V99" s="56"/>
    </row>
    <row r="100" spans="1:22" ht="19.5" customHeight="1">
      <c r="A100" s="54"/>
      <c r="B100" s="55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56"/>
      <c r="U100" s="56"/>
      <c r="V100" s="56"/>
    </row>
    <row r="101" spans="1:22" ht="19.5" customHeight="1">
      <c r="A101" s="54"/>
      <c r="B101" s="55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56"/>
      <c r="U101" s="56"/>
      <c r="V101" s="56"/>
    </row>
    <row r="102" spans="1:22" ht="19.5" customHeight="1">
      <c r="A102" s="54"/>
      <c r="B102" s="55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56"/>
      <c r="U102" s="56"/>
      <c r="V102" s="56"/>
    </row>
    <row r="103" spans="1:22" ht="19.5" customHeight="1">
      <c r="A103" s="54"/>
      <c r="B103" s="55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56"/>
      <c r="U103" s="56"/>
      <c r="V103" s="56"/>
    </row>
    <row r="104" spans="1:22" ht="19.5" customHeight="1">
      <c r="A104" s="54"/>
      <c r="B104" s="55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56"/>
      <c r="U104" s="56"/>
      <c r="V104" s="56"/>
    </row>
    <row r="105" spans="1:22" ht="19.5" customHeight="1">
      <c r="A105" s="54"/>
      <c r="B105" s="55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56"/>
      <c r="U105" s="56"/>
      <c r="V105" s="56"/>
    </row>
    <row r="106" spans="1:22" ht="19.5" customHeight="1">
      <c r="A106" s="54"/>
      <c r="B106" s="5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56"/>
      <c r="U106" s="56"/>
      <c r="V106" s="56"/>
    </row>
    <row r="107" spans="1:22" ht="19.5" customHeight="1">
      <c r="A107" s="54"/>
      <c r="B107" s="55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56"/>
      <c r="U107" s="56"/>
      <c r="V107" s="56"/>
    </row>
    <row r="108" spans="1:22" ht="19.5" customHeight="1">
      <c r="A108" s="54"/>
      <c r="B108" s="5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56"/>
      <c r="U108" s="56"/>
      <c r="V108" s="56"/>
    </row>
    <row r="109" spans="1:22" ht="19.5" customHeight="1">
      <c r="A109" s="54"/>
      <c r="B109" s="55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56"/>
      <c r="U109" s="56"/>
      <c r="V109" s="56"/>
    </row>
    <row r="110" spans="1:22" ht="19.5" customHeight="1">
      <c r="A110" s="54"/>
      <c r="B110" s="55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56"/>
      <c r="U110" s="56"/>
      <c r="V110" s="56"/>
    </row>
    <row r="111" spans="1:22" ht="19.5" customHeight="1">
      <c r="A111" s="54"/>
      <c r="B111" s="55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56"/>
      <c r="U111" s="56"/>
      <c r="V111" s="56"/>
    </row>
    <row r="112" spans="1:22" ht="19.5" customHeight="1">
      <c r="A112" s="54"/>
      <c r="B112" s="55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56"/>
      <c r="U112" s="56"/>
      <c r="V112" s="56"/>
    </row>
    <row r="113" spans="1:22" ht="19.5" customHeight="1">
      <c r="A113" s="54"/>
      <c r="B113" s="55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56"/>
      <c r="U113" s="56"/>
      <c r="V113" s="56"/>
    </row>
    <row r="114" spans="1:22" ht="19.5" customHeight="1">
      <c r="A114" s="54"/>
      <c r="B114" s="55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56"/>
      <c r="U114" s="56"/>
      <c r="V114" s="56"/>
    </row>
    <row r="115" spans="1:22" ht="19.5" customHeight="1">
      <c r="A115" s="54"/>
      <c r="B115" s="55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56"/>
      <c r="U115" s="56"/>
      <c r="V115" s="56"/>
    </row>
    <row r="116" spans="1:22" ht="19.5" customHeight="1">
      <c r="A116" s="54"/>
      <c r="B116" s="55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56"/>
      <c r="U116" s="56"/>
      <c r="V116" s="56"/>
    </row>
    <row r="117" spans="1:22" ht="19.5" customHeight="1">
      <c r="A117" s="54"/>
      <c r="B117" s="55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56"/>
      <c r="U117" s="56"/>
      <c r="V117" s="56"/>
    </row>
    <row r="118" spans="1:22" ht="19.5" customHeight="1">
      <c r="A118" s="54"/>
      <c r="B118" s="55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56"/>
      <c r="U118" s="56"/>
      <c r="V118" s="56"/>
    </row>
    <row r="119" spans="1:22" ht="19.5" customHeight="1">
      <c r="A119" s="54"/>
      <c r="B119" s="55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56"/>
      <c r="U119" s="56"/>
      <c r="V119" s="56"/>
    </row>
    <row r="120" spans="1:22" ht="19.5" customHeight="1">
      <c r="A120" s="54"/>
      <c r="B120" s="55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56"/>
      <c r="U120" s="56"/>
      <c r="V120" s="56"/>
    </row>
    <row r="121" spans="1:22" ht="19.5" customHeight="1">
      <c r="A121" s="54"/>
      <c r="B121" s="55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56"/>
      <c r="U121" s="56"/>
      <c r="V121" s="56"/>
    </row>
    <row r="122" spans="1:22" ht="19.5" customHeight="1">
      <c r="A122" s="54"/>
      <c r="B122" s="55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56"/>
      <c r="U122" s="56"/>
      <c r="V122" s="56"/>
    </row>
    <row r="123" spans="1:22" ht="19.5" customHeight="1">
      <c r="A123" s="54"/>
      <c r="B123" s="55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56"/>
      <c r="U123" s="56"/>
      <c r="V123" s="56"/>
    </row>
    <row r="124" spans="1:22" ht="19.5" customHeight="1">
      <c r="A124" s="54"/>
      <c r="B124" s="55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56"/>
      <c r="U124" s="56"/>
      <c r="V124" s="56"/>
    </row>
    <row r="125" spans="1:22" ht="19.5" customHeight="1">
      <c r="A125" s="54"/>
      <c r="B125" s="55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56"/>
      <c r="U125" s="56"/>
      <c r="V125" s="56"/>
    </row>
    <row r="126" spans="1:22" ht="19.5" customHeight="1">
      <c r="A126" s="54"/>
      <c r="B126" s="55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56"/>
      <c r="U126" s="56"/>
      <c r="V126" s="56"/>
    </row>
    <row r="127" spans="1:22" ht="19.5" customHeight="1">
      <c r="A127" s="54"/>
      <c r="B127" s="5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56"/>
      <c r="U127" s="56"/>
      <c r="V127" s="56"/>
    </row>
    <row r="128" spans="1:22" ht="19.5" customHeight="1">
      <c r="A128" s="54"/>
      <c r="B128" s="55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56"/>
      <c r="U128" s="56"/>
      <c r="V128" s="56"/>
    </row>
    <row r="129" spans="1:22" ht="19.5" customHeight="1">
      <c r="A129" s="54"/>
      <c r="B129" s="55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56"/>
      <c r="U129" s="56"/>
      <c r="V129" s="56"/>
    </row>
    <row r="130" spans="1:22" ht="19.5" customHeight="1">
      <c r="A130" s="54"/>
      <c r="B130" s="55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56"/>
      <c r="U130" s="56"/>
      <c r="V130" s="56"/>
    </row>
    <row r="131" spans="1:22" ht="19.5" customHeight="1">
      <c r="A131" s="54"/>
      <c r="B131" s="55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56"/>
      <c r="U131" s="56"/>
      <c r="V131" s="56"/>
    </row>
    <row r="132" spans="1:22" ht="19.5" customHeight="1">
      <c r="A132" s="54"/>
      <c r="B132" s="55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56"/>
      <c r="U132" s="56"/>
      <c r="V132" s="56"/>
    </row>
    <row r="133" spans="1:22" ht="19.5" customHeight="1">
      <c r="A133" s="54"/>
      <c r="B133" s="55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56"/>
      <c r="U133" s="56"/>
      <c r="V133" s="56"/>
    </row>
    <row r="134" spans="1:22" ht="19.5" customHeight="1">
      <c r="A134" s="54"/>
      <c r="B134" s="55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56"/>
      <c r="U134" s="56"/>
      <c r="V134" s="56"/>
    </row>
    <row r="135" spans="1:22" ht="19.5" customHeight="1">
      <c r="A135" s="54"/>
      <c r="B135" s="55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56"/>
      <c r="U135" s="56"/>
      <c r="V135" s="56"/>
    </row>
    <row r="136" spans="1:22" ht="19.5" customHeight="1">
      <c r="A136" s="54"/>
      <c r="B136" s="55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56"/>
      <c r="U136" s="56"/>
      <c r="V136" s="56"/>
    </row>
    <row r="137" spans="1:22" ht="19.5" customHeight="1">
      <c r="A137" s="54"/>
      <c r="B137" s="55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56"/>
      <c r="U137" s="56"/>
      <c r="V137" s="56"/>
    </row>
    <row r="138" spans="1:22" ht="19.5" customHeight="1">
      <c r="A138" s="54"/>
      <c r="B138" s="55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56"/>
      <c r="U138" s="56"/>
      <c r="V138" s="56"/>
    </row>
    <row r="139" spans="1:22" ht="19.5" customHeight="1">
      <c r="A139" s="54"/>
      <c r="B139" s="55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56"/>
      <c r="U139" s="56"/>
      <c r="V139" s="56"/>
    </row>
    <row r="140" spans="1:22" ht="19.5" customHeight="1">
      <c r="A140" s="54"/>
      <c r="B140" s="55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56"/>
      <c r="U140" s="56"/>
      <c r="V140" s="56"/>
    </row>
    <row r="141" spans="1:22" ht="19.5" customHeight="1">
      <c r="A141" s="54"/>
      <c r="B141" s="55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56"/>
      <c r="U141" s="56"/>
      <c r="V141" s="56"/>
    </row>
    <row r="142" spans="1:22" ht="19.5" customHeight="1">
      <c r="A142" s="54"/>
      <c r="B142" s="55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56"/>
      <c r="U142" s="56"/>
      <c r="V142" s="56"/>
    </row>
    <row r="143" spans="1:22" ht="19.5" customHeight="1">
      <c r="A143" s="54"/>
      <c r="B143" s="55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56"/>
      <c r="U143" s="56"/>
      <c r="V143" s="56"/>
    </row>
    <row r="144" spans="1:22" ht="19.5" customHeight="1">
      <c r="A144" s="54"/>
      <c r="B144" s="55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56"/>
      <c r="U144" s="56"/>
      <c r="V144" s="56"/>
    </row>
    <row r="145" spans="1:22" ht="19.5" customHeight="1">
      <c r="A145" s="54"/>
      <c r="B145" s="55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56"/>
      <c r="U145" s="56"/>
      <c r="V145" s="56"/>
    </row>
    <row r="146" spans="1:22" ht="19.5" customHeight="1">
      <c r="A146" s="54"/>
      <c r="B146" s="55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56"/>
      <c r="U146" s="56"/>
      <c r="V146" s="56"/>
    </row>
    <row r="147" spans="1:22" ht="19.5" customHeight="1">
      <c r="A147" s="54"/>
      <c r="B147" s="55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56"/>
      <c r="U147" s="56"/>
      <c r="V147" s="56"/>
    </row>
    <row r="148" spans="1:22" ht="19.5" customHeight="1">
      <c r="A148" s="54"/>
      <c r="B148" s="55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56"/>
      <c r="U148" s="56"/>
      <c r="V148" s="56"/>
    </row>
    <row r="149" spans="1:22" ht="19.5" customHeight="1">
      <c r="A149" s="54"/>
      <c r="B149" s="55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56"/>
      <c r="U149" s="56"/>
      <c r="V149" s="56"/>
    </row>
    <row r="150" spans="1:22" ht="19.5" customHeight="1">
      <c r="A150" s="54"/>
      <c r="B150" s="55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56"/>
      <c r="U150" s="56"/>
      <c r="V150" s="56"/>
    </row>
    <row r="151" spans="1:22" ht="19.5" customHeight="1">
      <c r="A151" s="54"/>
      <c r="B151" s="55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56"/>
      <c r="U151" s="56"/>
      <c r="V151" s="56"/>
    </row>
    <row r="152" spans="1:22" ht="19.5" customHeight="1">
      <c r="A152" s="54"/>
      <c r="B152" s="55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56"/>
      <c r="U152" s="56"/>
      <c r="V152" s="56"/>
    </row>
    <row r="153" spans="1:22" ht="19.5" customHeight="1">
      <c r="A153" s="54"/>
      <c r="B153" s="55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56"/>
      <c r="U153" s="56"/>
      <c r="V153" s="56"/>
    </row>
    <row r="154" spans="1:22" ht="19.5" customHeight="1">
      <c r="A154" s="54"/>
      <c r="B154" s="55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56"/>
      <c r="U154" s="56"/>
      <c r="V154" s="56"/>
    </row>
    <row r="155" spans="1:22" ht="19.5" customHeight="1">
      <c r="A155" s="54"/>
      <c r="B155" s="55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56"/>
      <c r="U155" s="56"/>
      <c r="V155" s="56"/>
    </row>
    <row r="156" spans="1:22" ht="19.5" customHeight="1">
      <c r="A156" s="54"/>
      <c r="B156" s="55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56"/>
      <c r="U156" s="56"/>
      <c r="V156" s="56"/>
    </row>
    <row r="157" spans="1:22" ht="19.5" customHeight="1">
      <c r="A157" s="54"/>
      <c r="B157" s="55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56"/>
      <c r="U157" s="56"/>
      <c r="V157" s="56"/>
    </row>
    <row r="158" spans="1:22" ht="19.5" customHeight="1">
      <c r="A158" s="54"/>
      <c r="B158" s="55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56"/>
      <c r="U158" s="56"/>
      <c r="V158" s="56"/>
    </row>
    <row r="159" spans="1:22" ht="19.5" customHeight="1">
      <c r="A159" s="54"/>
      <c r="B159" s="55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56"/>
      <c r="U159" s="56"/>
      <c r="V159" s="56"/>
    </row>
    <row r="160" spans="1:22" ht="19.5" customHeight="1">
      <c r="A160" s="54"/>
      <c r="B160" s="55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56"/>
      <c r="U160" s="56"/>
      <c r="V160" s="56"/>
    </row>
    <row r="161" spans="1:22" ht="19.5" customHeight="1">
      <c r="A161" s="54"/>
      <c r="B161" s="55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56"/>
      <c r="U161" s="56"/>
      <c r="V161" s="56"/>
    </row>
    <row r="162" spans="1:22" ht="19.5" customHeight="1">
      <c r="A162" s="54"/>
      <c r="B162" s="55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56"/>
      <c r="U162" s="56"/>
      <c r="V162" s="56"/>
    </row>
    <row r="163" spans="1:22" ht="19.5" customHeight="1">
      <c r="A163" s="54"/>
      <c r="B163" s="55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56"/>
      <c r="U163" s="56"/>
      <c r="V163" s="56"/>
    </row>
    <row r="164" spans="1:22" ht="19.5" customHeight="1">
      <c r="A164" s="54"/>
      <c r="B164" s="55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56"/>
      <c r="U164" s="56"/>
      <c r="V164" s="56"/>
    </row>
    <row r="165" spans="1:22" ht="19.5" customHeight="1">
      <c r="A165" s="54"/>
      <c r="B165" s="55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56"/>
      <c r="U165" s="56"/>
      <c r="V165" s="56"/>
    </row>
    <row r="166" spans="1:22" ht="19.5" customHeight="1">
      <c r="A166" s="54"/>
      <c r="B166" s="55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56"/>
      <c r="U166" s="56"/>
      <c r="V166" s="56"/>
    </row>
    <row r="167" spans="1:22" ht="19.5" customHeight="1">
      <c r="A167" s="54"/>
      <c r="B167" s="55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56"/>
      <c r="U167" s="56"/>
      <c r="V167" s="56"/>
    </row>
    <row r="168" spans="1:22" ht="19.5" customHeight="1">
      <c r="A168" s="54"/>
      <c r="B168" s="55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56"/>
      <c r="U168" s="56"/>
      <c r="V168" s="56"/>
    </row>
    <row r="169" spans="1:22" ht="19.5" customHeight="1">
      <c r="A169" s="54"/>
      <c r="B169" s="55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56"/>
      <c r="U169" s="56"/>
      <c r="V169" s="56"/>
    </row>
    <row r="170" spans="1:22" ht="19.5" customHeight="1">
      <c r="A170" s="54"/>
      <c r="B170" s="55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56"/>
      <c r="U170" s="56"/>
      <c r="V170" s="56"/>
    </row>
    <row r="171" spans="1:22" ht="19.5" customHeight="1">
      <c r="A171" s="54"/>
      <c r="B171" s="55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56"/>
      <c r="U171" s="56"/>
      <c r="V171" s="56"/>
    </row>
    <row r="172" spans="1:22" ht="19.5" customHeight="1">
      <c r="A172" s="54"/>
      <c r="B172" s="55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56"/>
      <c r="U172" s="56"/>
      <c r="V172" s="56"/>
    </row>
    <row r="173" spans="1:22" ht="19.5" customHeight="1">
      <c r="A173" s="54"/>
      <c r="B173" s="55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56"/>
      <c r="U173" s="56"/>
      <c r="V173" s="56"/>
    </row>
    <row r="174" spans="1:22" ht="19.5" customHeight="1">
      <c r="A174" s="54"/>
      <c r="B174" s="55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56"/>
      <c r="U174" s="56"/>
      <c r="V174" s="56"/>
    </row>
    <row r="175" spans="1:22" ht="19.5" customHeight="1">
      <c r="A175" s="54"/>
      <c r="B175" s="55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56"/>
      <c r="U175" s="56"/>
      <c r="V175" s="56"/>
    </row>
    <row r="176" spans="1:22" ht="19.5" customHeight="1">
      <c r="A176" s="54"/>
      <c r="B176" s="55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56"/>
      <c r="U176" s="56"/>
      <c r="V176" s="56"/>
    </row>
    <row r="177" spans="1:22" ht="19.5" customHeight="1">
      <c r="A177" s="54"/>
      <c r="B177" s="55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56"/>
      <c r="U177" s="56"/>
      <c r="V177" s="56"/>
    </row>
    <row r="178" spans="1:22" ht="19.5" customHeight="1">
      <c r="A178" s="54"/>
      <c r="B178" s="55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56"/>
      <c r="U178" s="56"/>
      <c r="V178" s="56"/>
    </row>
    <row r="179" spans="1:22" ht="19.5" customHeight="1">
      <c r="A179" s="54"/>
      <c r="B179" s="55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56"/>
      <c r="U179" s="56"/>
      <c r="V179" s="56"/>
    </row>
    <row r="180" spans="1:22" ht="19.5" customHeight="1">
      <c r="A180" s="54"/>
      <c r="B180" s="55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56"/>
      <c r="U180" s="56"/>
      <c r="V180" s="56"/>
    </row>
    <row r="181" spans="1:22" ht="19.5" customHeight="1">
      <c r="A181" s="54"/>
      <c r="B181" s="55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56"/>
      <c r="U181" s="56"/>
      <c r="V181" s="56"/>
    </row>
    <row r="182" spans="1:22" ht="19.5" customHeight="1">
      <c r="A182" s="54"/>
      <c r="B182" s="55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56"/>
      <c r="U182" s="56"/>
      <c r="V182" s="56"/>
    </row>
    <row r="183" spans="1:22" ht="19.5" customHeight="1">
      <c r="A183" s="54"/>
      <c r="B183" s="55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56"/>
      <c r="U183" s="56"/>
      <c r="V183" s="56"/>
    </row>
    <row r="184" spans="1:22" ht="19.5" customHeight="1">
      <c r="A184" s="54"/>
      <c r="B184" s="55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56"/>
      <c r="U184" s="56"/>
      <c r="V184" s="56"/>
    </row>
    <row r="185" spans="1:22" ht="19.5" customHeight="1">
      <c r="A185" s="54"/>
      <c r="B185" s="55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56"/>
      <c r="U185" s="56"/>
      <c r="V185" s="56"/>
    </row>
    <row r="186" spans="1:22" ht="19.5" customHeight="1">
      <c r="A186" s="54"/>
      <c r="B186" s="55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56"/>
      <c r="U186" s="56"/>
      <c r="V186" s="56"/>
    </row>
    <row r="187" spans="1:22" ht="19.5" customHeight="1">
      <c r="A187" s="54"/>
      <c r="B187" s="55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56"/>
      <c r="U187" s="56"/>
      <c r="V187" s="56"/>
    </row>
    <row r="188" spans="1:22" ht="19.5" customHeight="1">
      <c r="A188" s="54"/>
      <c r="B188" s="55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56"/>
      <c r="U188" s="56"/>
      <c r="V188" s="56"/>
    </row>
    <row r="189" spans="1:22" ht="19.5" customHeight="1">
      <c r="A189" s="54"/>
      <c r="B189" s="55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56"/>
      <c r="U189" s="56"/>
      <c r="V189" s="56"/>
    </row>
    <row r="190" spans="1:22" ht="19.5" customHeight="1">
      <c r="A190" s="54"/>
      <c r="B190" s="55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56"/>
      <c r="U190" s="56"/>
      <c r="V190" s="56"/>
    </row>
    <row r="191" spans="1:22" ht="19.5" customHeight="1">
      <c r="A191" s="54"/>
      <c r="B191" s="55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56"/>
      <c r="U191" s="56"/>
      <c r="V191" s="56"/>
    </row>
    <row r="192" spans="1:22" ht="19.5" customHeight="1">
      <c r="A192" s="54"/>
      <c r="B192" s="55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56"/>
      <c r="U192" s="56"/>
      <c r="V192" s="56"/>
    </row>
    <row r="193" spans="1:22" ht="19.5" customHeight="1">
      <c r="A193" s="54"/>
      <c r="B193" s="55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56"/>
      <c r="U193" s="56"/>
      <c r="V193" s="56"/>
    </row>
    <row r="194" spans="1:22" ht="19.5" customHeight="1">
      <c r="A194" s="54"/>
      <c r="B194" s="55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56"/>
      <c r="U194" s="56"/>
      <c r="V194" s="56"/>
    </row>
    <row r="195" spans="1:22" ht="19.5" customHeight="1">
      <c r="A195" s="54"/>
      <c r="B195" s="55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56"/>
      <c r="U195" s="56"/>
      <c r="V195" s="56"/>
    </row>
    <row r="196" spans="1:22" ht="19.5" customHeight="1">
      <c r="A196" s="54"/>
      <c r="B196" s="55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56"/>
      <c r="U196" s="56"/>
      <c r="V196" s="56"/>
    </row>
    <row r="197" spans="1:22" ht="19.5" customHeight="1">
      <c r="A197" s="54"/>
      <c r="B197" s="55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56"/>
      <c r="U197" s="56"/>
      <c r="V197" s="56"/>
    </row>
    <row r="198" spans="1:22" ht="19.5" customHeight="1">
      <c r="A198" s="54"/>
      <c r="B198" s="55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56"/>
      <c r="U198" s="56"/>
      <c r="V198" s="56"/>
    </row>
    <row r="199" spans="1:22" ht="19.5" customHeight="1">
      <c r="A199" s="54"/>
      <c r="B199" s="55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56"/>
      <c r="U199" s="56"/>
      <c r="V199" s="56"/>
    </row>
    <row r="200" spans="1:22" ht="19.5" customHeight="1">
      <c r="A200" s="54"/>
      <c r="B200" s="55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56"/>
      <c r="U200" s="56"/>
      <c r="V200" s="56"/>
    </row>
    <row r="201" spans="1:22" ht="19.5" customHeight="1">
      <c r="A201" s="54"/>
      <c r="B201" s="55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56"/>
      <c r="U201" s="56"/>
      <c r="V201" s="56"/>
    </row>
    <row r="202" spans="1:22" ht="19.5" customHeight="1">
      <c r="A202" s="54"/>
      <c r="B202" s="55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56"/>
      <c r="U202" s="56"/>
      <c r="V202" s="56"/>
    </row>
    <row r="203" spans="1:22" ht="19.5" customHeight="1">
      <c r="A203" s="54"/>
      <c r="B203" s="55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56"/>
      <c r="U203" s="56"/>
      <c r="V203" s="56"/>
    </row>
    <row r="204" spans="1:22" ht="19.5" customHeight="1">
      <c r="A204" s="54"/>
      <c r="B204" s="55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56"/>
      <c r="U204" s="56"/>
      <c r="V204" s="56"/>
    </row>
    <row r="205" spans="1:22" ht="19.5" customHeight="1">
      <c r="A205" s="54"/>
      <c r="B205" s="55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56"/>
      <c r="U205" s="56"/>
      <c r="V205" s="56"/>
    </row>
    <row r="206" spans="1:22" ht="19.5" customHeight="1">
      <c r="A206" s="54"/>
      <c r="B206" s="55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56"/>
      <c r="U206" s="56"/>
      <c r="V206" s="56"/>
    </row>
    <row r="207" spans="1:22" ht="19.5" customHeight="1">
      <c r="A207" s="54"/>
      <c r="B207" s="55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56"/>
      <c r="U207" s="56"/>
      <c r="V207" s="56"/>
    </row>
    <row r="208" spans="1:22" ht="19.5" customHeight="1">
      <c r="A208" s="54"/>
      <c r="B208" s="55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56"/>
      <c r="U208" s="56"/>
      <c r="V208" s="56"/>
    </row>
    <row r="209" spans="1:22" ht="19.5" customHeight="1">
      <c r="A209" s="54"/>
      <c r="B209" s="55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56"/>
      <c r="U209" s="56"/>
      <c r="V209" s="56"/>
    </row>
    <row r="210" spans="1:22" ht="19.5" customHeight="1">
      <c r="A210" s="54"/>
      <c r="B210" s="55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56"/>
      <c r="U210" s="56"/>
      <c r="V210" s="56"/>
    </row>
    <row r="211" spans="1:22" ht="19.5" customHeight="1">
      <c r="A211" s="54"/>
      <c r="B211" s="55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56"/>
      <c r="U211" s="56"/>
      <c r="V211" s="56"/>
    </row>
    <row r="212" spans="1:22" ht="19.5" customHeight="1">
      <c r="A212" s="54"/>
      <c r="B212" s="55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56"/>
      <c r="U212" s="56"/>
      <c r="V212" s="56"/>
    </row>
    <row r="213" spans="1:22" ht="19.5" customHeight="1">
      <c r="A213" s="54"/>
      <c r="B213" s="5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56"/>
      <c r="U213" s="56"/>
      <c r="V213" s="56"/>
    </row>
    <row r="214" spans="1:22" ht="19.5" customHeight="1">
      <c r="A214" s="54"/>
      <c r="B214" s="55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56"/>
      <c r="U214" s="56"/>
      <c r="V214" s="56"/>
    </row>
    <row r="215" spans="1:22" ht="19.5" customHeight="1">
      <c r="A215" s="54"/>
      <c r="B215" s="55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56"/>
      <c r="U215" s="56"/>
      <c r="V215" s="56"/>
    </row>
    <row r="216" spans="1:22" ht="19.5" customHeight="1">
      <c r="A216" s="54"/>
      <c r="B216" s="55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56"/>
      <c r="U216" s="56"/>
      <c r="V216" s="56"/>
    </row>
    <row r="217" spans="1:22" ht="19.5" customHeight="1">
      <c r="A217" s="54"/>
      <c r="B217" s="55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56"/>
      <c r="U217" s="56"/>
      <c r="V217" s="56"/>
    </row>
    <row r="218" spans="1:22" ht="19.5" customHeight="1">
      <c r="A218" s="54"/>
      <c r="B218" s="55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56"/>
      <c r="U218" s="56"/>
      <c r="V218" s="56"/>
    </row>
    <row r="219" spans="1:22" ht="19.5" customHeight="1">
      <c r="A219" s="54"/>
      <c r="B219" s="55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56"/>
      <c r="U219" s="56"/>
      <c r="V219" s="56"/>
    </row>
    <row r="220" spans="1:22" ht="19.5" customHeight="1">
      <c r="A220" s="54"/>
      <c r="B220" s="55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56"/>
      <c r="U220" s="56"/>
      <c r="V220" s="56"/>
    </row>
    <row r="221" spans="1:22" ht="19.5" customHeight="1">
      <c r="A221" s="54"/>
      <c r="B221" s="55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56"/>
      <c r="U221" s="56"/>
      <c r="V221" s="56"/>
    </row>
    <row r="222" spans="1:22" ht="19.5" customHeight="1">
      <c r="A222" s="54"/>
      <c r="B222" s="55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56"/>
      <c r="U222" s="56"/>
      <c r="V222" s="56"/>
    </row>
    <row r="223" spans="1:22" ht="19.5" customHeight="1">
      <c r="A223" s="54"/>
      <c r="B223" s="55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56"/>
      <c r="U223" s="56"/>
      <c r="V223" s="56"/>
    </row>
    <row r="224" spans="1:22" ht="19.5" customHeight="1">
      <c r="A224" s="54"/>
      <c r="B224" s="55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56"/>
      <c r="U224" s="56"/>
      <c r="V224" s="56"/>
    </row>
    <row r="225" spans="1:22" ht="19.5" customHeight="1">
      <c r="A225" s="54"/>
      <c r="B225" s="55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56"/>
      <c r="U225" s="56"/>
      <c r="V225" s="56"/>
    </row>
    <row r="226" spans="1:22" ht="19.5" customHeight="1">
      <c r="A226" s="54"/>
      <c r="B226" s="55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56"/>
      <c r="U226" s="56"/>
      <c r="V226" s="56"/>
    </row>
    <row r="227" spans="1:22" ht="19.5" customHeight="1">
      <c r="A227" s="54"/>
      <c r="B227" s="55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56"/>
      <c r="U227" s="56"/>
      <c r="V227" s="56"/>
    </row>
    <row r="228" spans="1:22" ht="19.5" customHeight="1">
      <c r="A228" s="54"/>
      <c r="B228" s="55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56"/>
      <c r="U228" s="56"/>
      <c r="V228" s="56"/>
    </row>
    <row r="229" spans="1:22" ht="19.5" customHeight="1">
      <c r="A229" s="54"/>
      <c r="B229" s="55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56"/>
      <c r="U229" s="56"/>
      <c r="V229" s="56"/>
    </row>
    <row r="230" spans="1:22" ht="19.5" customHeight="1">
      <c r="A230" s="54"/>
      <c r="B230" s="5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56"/>
      <c r="U230" s="56"/>
      <c r="V230" s="56"/>
    </row>
    <row r="231" spans="1:22" ht="19.5" customHeight="1">
      <c r="A231" s="54"/>
      <c r="B231" s="55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56"/>
      <c r="U231" s="56"/>
      <c r="V231" s="56"/>
    </row>
    <row r="232" spans="1:22" ht="19.5" customHeight="1">
      <c r="A232" s="54"/>
      <c r="B232" s="5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56"/>
      <c r="U232" s="56"/>
      <c r="V232" s="56"/>
    </row>
    <row r="233" spans="1:22" ht="19.5" customHeight="1">
      <c r="A233" s="54"/>
      <c r="B233" s="55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56"/>
      <c r="U233" s="56"/>
      <c r="V233" s="56"/>
    </row>
    <row r="234" spans="1:22" ht="19.5" customHeight="1">
      <c r="A234" s="54"/>
      <c r="B234" s="55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56"/>
      <c r="U234" s="56"/>
      <c r="V234" s="56"/>
    </row>
    <row r="235" spans="1:22" ht="19.5" customHeight="1">
      <c r="A235" s="54"/>
      <c r="B235" s="55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56"/>
      <c r="U235" s="56"/>
      <c r="V235" s="56"/>
    </row>
    <row r="236" spans="1:22" ht="19.5" customHeight="1">
      <c r="A236" s="54"/>
      <c r="B236" s="55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56"/>
      <c r="U236" s="56"/>
      <c r="V236" s="56"/>
    </row>
    <row r="237" spans="1:22" ht="19.5" customHeight="1">
      <c r="A237" s="54"/>
      <c r="B237" s="55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56"/>
      <c r="U237" s="56"/>
      <c r="V237" s="56"/>
    </row>
    <row r="238" spans="1:22" ht="19.5" customHeight="1">
      <c r="A238" s="54"/>
      <c r="B238" s="55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56"/>
      <c r="U238" s="56"/>
      <c r="V238" s="56"/>
    </row>
    <row r="239" spans="1:22" ht="19.5" customHeight="1">
      <c r="A239" s="54"/>
      <c r="B239" s="55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56"/>
      <c r="U239" s="56"/>
      <c r="V239" s="56"/>
    </row>
    <row r="240" spans="1:22" ht="19.5" customHeight="1">
      <c r="A240" s="54"/>
      <c r="B240" s="55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56"/>
      <c r="U240" s="56"/>
      <c r="V240" s="56"/>
    </row>
    <row r="241" spans="1:22" ht="19.5" customHeight="1">
      <c r="A241" s="54"/>
      <c r="B241" s="55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56"/>
      <c r="U241" s="56"/>
      <c r="V241" s="56"/>
    </row>
    <row r="242" spans="1:22" ht="19.5" customHeight="1">
      <c r="A242" s="54"/>
      <c r="B242" s="55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56"/>
      <c r="U242" s="56"/>
      <c r="V242" s="56"/>
    </row>
    <row r="243" spans="1:22" ht="19.5" customHeight="1">
      <c r="A243" s="54"/>
      <c r="B243" s="55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56"/>
      <c r="U243" s="56"/>
      <c r="V243" s="56"/>
    </row>
    <row r="244" spans="1:22" ht="19.5" customHeight="1">
      <c r="A244" s="54"/>
      <c r="B244" s="55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56"/>
      <c r="U244" s="56"/>
      <c r="V244" s="56"/>
    </row>
    <row r="245" spans="1:22" ht="19.5" customHeight="1">
      <c r="A245" s="54"/>
      <c r="B245" s="55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56"/>
      <c r="U245" s="56"/>
      <c r="V245" s="56"/>
    </row>
    <row r="246" spans="1:22" ht="19.5" customHeight="1">
      <c r="A246" s="54"/>
      <c r="B246" s="55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56"/>
      <c r="U246" s="56"/>
      <c r="V246" s="56"/>
    </row>
    <row r="247" spans="1:22" ht="19.5" customHeight="1">
      <c r="A247" s="54"/>
      <c r="B247" s="55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56"/>
      <c r="U247" s="56"/>
      <c r="V247" s="56"/>
    </row>
    <row r="248" spans="1:22" ht="19.5" customHeight="1">
      <c r="A248" s="54"/>
      <c r="B248" s="55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56"/>
      <c r="U248" s="56"/>
      <c r="V248" s="56"/>
    </row>
    <row r="249" spans="1:22" ht="19.5" customHeight="1">
      <c r="A249" s="54"/>
      <c r="B249" s="55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56"/>
      <c r="U249" s="56"/>
      <c r="V249" s="56"/>
    </row>
    <row r="250" spans="1:22" ht="19.5" customHeight="1">
      <c r="A250" s="54"/>
      <c r="B250" s="55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56"/>
      <c r="U250" s="56"/>
      <c r="V250" s="56"/>
    </row>
    <row r="251" spans="1:22" ht="19.5" customHeight="1">
      <c r="A251" s="54"/>
      <c r="B251" s="55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56"/>
      <c r="U251" s="56"/>
      <c r="V251" s="56"/>
    </row>
    <row r="252" spans="1:22" ht="19.5" customHeight="1">
      <c r="A252" s="54"/>
      <c r="B252" s="55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56"/>
      <c r="U252" s="56"/>
      <c r="V252" s="56"/>
    </row>
    <row r="253" spans="1:22" ht="19.5" customHeight="1">
      <c r="A253" s="54"/>
      <c r="B253" s="55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56"/>
      <c r="U253" s="56"/>
      <c r="V253" s="56"/>
    </row>
    <row r="254" spans="1:22" ht="19.5" customHeight="1">
      <c r="A254" s="54"/>
      <c r="B254" s="55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56"/>
      <c r="U254" s="56"/>
      <c r="V254" s="56"/>
    </row>
    <row r="255" spans="1:22" ht="19.5" customHeight="1">
      <c r="A255" s="54"/>
      <c r="B255" s="55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56"/>
      <c r="U255" s="56"/>
      <c r="V255" s="56"/>
    </row>
    <row r="256" spans="1:22" ht="19.5" customHeight="1">
      <c r="A256" s="54"/>
      <c r="B256" s="55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56"/>
      <c r="U256" s="56"/>
      <c r="V256" s="56"/>
    </row>
    <row r="257" spans="1:22" ht="19.5" customHeight="1">
      <c r="A257" s="54"/>
      <c r="B257" s="55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56"/>
      <c r="U257" s="56"/>
      <c r="V257" s="56"/>
    </row>
    <row r="258" spans="1:22" ht="19.5" customHeight="1">
      <c r="A258" s="54"/>
      <c r="B258" s="55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56"/>
      <c r="U258" s="56"/>
      <c r="V258" s="56"/>
    </row>
    <row r="259" spans="1:22" ht="19.5" customHeight="1">
      <c r="A259" s="54"/>
      <c r="B259" s="55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56"/>
      <c r="U259" s="56"/>
      <c r="V259" s="56"/>
    </row>
    <row r="260" spans="1:22" ht="19.5" customHeight="1">
      <c r="A260" s="54"/>
      <c r="B260" s="55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56"/>
      <c r="U260" s="56"/>
      <c r="V260" s="56"/>
    </row>
    <row r="261" spans="1:22" ht="19.5" customHeight="1">
      <c r="A261" s="54"/>
      <c r="B261" s="55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56"/>
      <c r="U261" s="56"/>
      <c r="V261" s="56"/>
    </row>
    <row r="262" spans="1:22" ht="19.5" customHeight="1">
      <c r="A262" s="54"/>
      <c r="B262" s="55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56"/>
      <c r="U262" s="56"/>
      <c r="V262" s="56"/>
    </row>
    <row r="263" spans="1:22" ht="19.5" customHeight="1">
      <c r="A263" s="54"/>
      <c r="B263" s="55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56"/>
      <c r="U263" s="56"/>
      <c r="V263" s="56"/>
    </row>
    <row r="264" spans="1:22" ht="19.5" customHeight="1">
      <c r="A264" s="54"/>
      <c r="B264" s="55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56"/>
      <c r="U264" s="56"/>
      <c r="V264" s="56"/>
    </row>
    <row r="265" spans="1:22" ht="19.5" customHeight="1">
      <c r="A265" s="54"/>
      <c r="B265" s="55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56"/>
      <c r="U265" s="56"/>
      <c r="V265" s="56"/>
    </row>
    <row r="266" spans="1:22" ht="19.5" customHeight="1">
      <c r="A266" s="54"/>
      <c r="B266" s="55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56"/>
      <c r="U266" s="56"/>
      <c r="V266" s="56"/>
    </row>
    <row r="267" spans="1:22" ht="19.5" customHeight="1">
      <c r="A267" s="54"/>
      <c r="B267" s="55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56"/>
      <c r="U267" s="56"/>
      <c r="V267" s="56"/>
    </row>
    <row r="268" spans="1:22" ht="19.5" customHeight="1">
      <c r="A268" s="54"/>
      <c r="B268" s="55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56"/>
      <c r="U268" s="56"/>
      <c r="V268" s="56"/>
    </row>
    <row r="269" spans="1:22" ht="19.5" customHeight="1">
      <c r="A269" s="54"/>
      <c r="B269" s="55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56"/>
      <c r="U269" s="56"/>
      <c r="V269" s="56"/>
    </row>
    <row r="270" spans="1:22" ht="19.5" customHeight="1">
      <c r="A270" s="54"/>
      <c r="B270" s="55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56"/>
      <c r="U270" s="56"/>
      <c r="V270" s="56"/>
    </row>
    <row r="271" spans="1:22" ht="19.5" customHeight="1">
      <c r="A271" s="54"/>
      <c r="B271" s="55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56"/>
      <c r="U271" s="56"/>
      <c r="V271" s="56"/>
    </row>
    <row r="272" spans="1:22" ht="19.5" customHeight="1">
      <c r="A272" s="54"/>
      <c r="B272" s="55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56"/>
      <c r="U272" s="56"/>
      <c r="V272" s="56"/>
    </row>
    <row r="273" spans="1:22" ht="19.5" customHeight="1">
      <c r="A273" s="54"/>
      <c r="B273" s="55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56"/>
      <c r="U273" s="56"/>
      <c r="V273" s="56"/>
    </row>
    <row r="274" spans="1:22" ht="19.5" customHeight="1">
      <c r="A274" s="54"/>
      <c r="B274" s="55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56"/>
      <c r="U274" s="56"/>
      <c r="V274" s="56"/>
    </row>
    <row r="275" spans="1:22" ht="19.5" customHeight="1">
      <c r="A275" s="54"/>
      <c r="B275" s="55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56"/>
      <c r="U275" s="56"/>
      <c r="V275" s="56"/>
    </row>
    <row r="276" spans="1:22" ht="19.5" customHeight="1">
      <c r="A276" s="54"/>
      <c r="B276" s="55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56"/>
      <c r="U276" s="56"/>
      <c r="V276" s="56"/>
    </row>
    <row r="277" spans="1:22" ht="19.5" customHeight="1">
      <c r="A277" s="54"/>
      <c r="B277" s="55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56"/>
      <c r="U277" s="56"/>
      <c r="V277" s="56"/>
    </row>
    <row r="278" spans="1:22" ht="19.5" customHeight="1">
      <c r="A278" s="54"/>
      <c r="B278" s="55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56"/>
      <c r="U278" s="56"/>
      <c r="V278" s="56"/>
    </row>
    <row r="279" spans="1:22" ht="19.5" customHeight="1">
      <c r="A279" s="54"/>
      <c r="B279" s="55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56"/>
      <c r="U279" s="56"/>
      <c r="V279" s="56"/>
    </row>
    <row r="280" spans="1:22" ht="19.5" customHeight="1">
      <c r="A280" s="54"/>
      <c r="B280" s="55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56"/>
      <c r="U280" s="56"/>
      <c r="V280" s="56"/>
    </row>
    <row r="281" spans="1:22" ht="19.5" customHeight="1">
      <c r="A281" s="54"/>
      <c r="B281" s="55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56"/>
      <c r="U281" s="56"/>
      <c r="V281" s="56"/>
    </row>
    <row r="282" spans="1:22" ht="19.5" customHeight="1">
      <c r="A282" s="54"/>
      <c r="B282" s="55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56"/>
      <c r="U282" s="56"/>
      <c r="V282" s="56"/>
    </row>
    <row r="283" spans="1:22" ht="19.5" customHeight="1">
      <c r="A283" s="54"/>
      <c r="B283" s="55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56"/>
      <c r="U283" s="56"/>
      <c r="V283" s="56"/>
    </row>
    <row r="284" spans="1:22" ht="19.5" customHeight="1">
      <c r="A284" s="54"/>
      <c r="B284" s="55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56"/>
      <c r="U284" s="56"/>
      <c r="V284" s="56"/>
    </row>
    <row r="285" spans="1:22" ht="19.5" customHeight="1">
      <c r="A285" s="54"/>
      <c r="B285" s="55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56"/>
      <c r="U285" s="56"/>
      <c r="V285" s="56"/>
    </row>
    <row r="286" spans="1:22" ht="19.5" customHeight="1">
      <c r="A286" s="54"/>
      <c r="B286" s="55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56"/>
      <c r="U286" s="56"/>
      <c r="V286" s="56"/>
    </row>
    <row r="287" spans="1:22" ht="19.5" customHeight="1">
      <c r="A287" s="54"/>
      <c r="B287" s="55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56"/>
      <c r="U287" s="56"/>
      <c r="V287" s="56"/>
    </row>
    <row r="288" spans="1:22" ht="19.5" customHeight="1">
      <c r="A288" s="54"/>
      <c r="B288" s="55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56"/>
      <c r="U288" s="56"/>
      <c r="V288" s="56"/>
    </row>
    <row r="289" spans="1:22" ht="19.5" customHeight="1">
      <c r="A289" s="54"/>
      <c r="B289" s="55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56"/>
      <c r="U289" s="56"/>
      <c r="V289" s="56"/>
    </row>
    <row r="290" spans="1:22" ht="19.5" customHeight="1">
      <c r="A290" s="54"/>
      <c r="B290" s="55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56"/>
      <c r="U290" s="56"/>
      <c r="V290" s="56"/>
    </row>
    <row r="291" spans="1:22" ht="19.5" customHeight="1">
      <c r="A291" s="54"/>
      <c r="B291" s="55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56"/>
      <c r="U291" s="56"/>
      <c r="V291" s="56"/>
    </row>
    <row r="292" spans="1:22" ht="19.5" customHeight="1">
      <c r="A292" s="54"/>
      <c r="B292" s="55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56"/>
      <c r="U292" s="56"/>
      <c r="V292" s="56"/>
    </row>
    <row r="293" spans="1:22" ht="19.5" customHeight="1">
      <c r="A293" s="54"/>
      <c r="B293" s="55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56"/>
      <c r="U293" s="56"/>
      <c r="V293" s="56"/>
    </row>
    <row r="294" spans="1:22" ht="19.5" customHeight="1">
      <c r="A294" s="54"/>
      <c r="B294" s="55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56"/>
      <c r="U294" s="56"/>
      <c r="V294" s="56"/>
    </row>
    <row r="295" spans="1:22" ht="19.5" customHeight="1">
      <c r="A295" s="54"/>
      <c r="B295" s="55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56"/>
      <c r="U295" s="56"/>
      <c r="V295" s="56"/>
    </row>
    <row r="296" spans="1:22" ht="19.5" customHeight="1">
      <c r="A296" s="54"/>
      <c r="B296" s="55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56"/>
      <c r="U296" s="56"/>
      <c r="V296" s="56"/>
    </row>
    <row r="297" spans="1:22" ht="19.5" customHeight="1">
      <c r="A297" s="54"/>
      <c r="B297" s="55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56"/>
      <c r="U297" s="56"/>
      <c r="V297" s="56"/>
    </row>
    <row r="298" spans="1:22" ht="19.5" customHeight="1">
      <c r="A298" s="54"/>
      <c r="B298" s="55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56"/>
      <c r="U298" s="56"/>
      <c r="V298" s="56"/>
    </row>
    <row r="299" spans="1:22" ht="19.5" customHeight="1">
      <c r="A299" s="54"/>
      <c r="B299" s="55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56"/>
      <c r="U299" s="56"/>
      <c r="V299" s="56"/>
    </row>
    <row r="300" spans="1:22" ht="19.5" customHeight="1">
      <c r="A300" s="54"/>
      <c r="B300" s="55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56"/>
      <c r="U300" s="56"/>
      <c r="V300" s="56"/>
    </row>
    <row r="301" spans="1:22" ht="19.5" customHeight="1">
      <c r="A301" s="54"/>
      <c r="B301" s="55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56"/>
      <c r="U301" s="56"/>
      <c r="V301" s="56"/>
    </row>
    <row r="302" spans="1:22" ht="19.5" customHeight="1">
      <c r="A302" s="54"/>
      <c r="B302" s="55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56"/>
      <c r="U302" s="56"/>
      <c r="V302" s="56"/>
    </row>
    <row r="303" spans="1:22" ht="19.5" customHeight="1">
      <c r="A303" s="54"/>
      <c r="B303" s="55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56"/>
      <c r="U303" s="56"/>
      <c r="V303" s="56"/>
    </row>
    <row r="304" spans="1:22" ht="19.5" customHeight="1">
      <c r="A304" s="54"/>
      <c r="B304" s="55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56"/>
      <c r="U304" s="56"/>
      <c r="V304" s="56"/>
    </row>
    <row r="305" spans="1:22" ht="19.5" customHeight="1">
      <c r="A305" s="54"/>
      <c r="B305" s="55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56"/>
      <c r="U305" s="56"/>
      <c r="V305" s="56"/>
    </row>
    <row r="306" spans="1:22" ht="19.5" customHeight="1">
      <c r="A306" s="54"/>
      <c r="B306" s="55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56"/>
      <c r="U306" s="56"/>
      <c r="V306" s="56"/>
    </row>
    <row r="307" spans="1:22" ht="19.5" customHeight="1">
      <c r="A307" s="54"/>
      <c r="B307" s="55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56"/>
      <c r="U307" s="56"/>
      <c r="V307" s="56"/>
    </row>
    <row r="308" spans="1:22" ht="19.5" customHeight="1">
      <c r="A308" s="54"/>
      <c r="B308" s="55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56"/>
      <c r="U308" s="56"/>
      <c r="V308" s="56"/>
    </row>
    <row r="309" spans="1:22" ht="19.5" customHeight="1">
      <c r="A309" s="54"/>
      <c r="B309" s="55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56"/>
      <c r="U309" s="56"/>
      <c r="V309" s="56"/>
    </row>
    <row r="310" spans="1:22" ht="19.5" customHeight="1">
      <c r="A310" s="54"/>
      <c r="B310" s="55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56"/>
      <c r="U310" s="56"/>
      <c r="V310" s="56"/>
    </row>
    <row r="311" spans="1:22" ht="19.5" customHeight="1">
      <c r="A311" s="54"/>
      <c r="B311" s="55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56"/>
      <c r="U311" s="56"/>
      <c r="V311" s="56"/>
    </row>
    <row r="312" spans="1:22" ht="19.5" customHeight="1">
      <c r="A312" s="54"/>
      <c r="B312" s="55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56"/>
      <c r="U312" s="56"/>
      <c r="V312" s="56"/>
    </row>
    <row r="313" spans="1:22" ht="19.5" customHeight="1">
      <c r="A313" s="54"/>
      <c r="B313" s="55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56"/>
      <c r="U313" s="56"/>
      <c r="V313" s="56"/>
    </row>
    <row r="314" spans="1:22" ht="19.5" customHeight="1">
      <c r="A314" s="54"/>
      <c r="B314" s="55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56"/>
      <c r="U314" s="56"/>
      <c r="V314" s="56"/>
    </row>
    <row r="315" spans="1:22" ht="19.5" customHeight="1">
      <c r="A315" s="54"/>
      <c r="B315" s="55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56"/>
      <c r="U315" s="56"/>
      <c r="V315" s="56"/>
    </row>
    <row r="316" spans="1:22" ht="19.5" customHeight="1">
      <c r="A316" s="54"/>
      <c r="B316" s="55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56"/>
      <c r="U316" s="56"/>
      <c r="V316" s="56"/>
    </row>
    <row r="317" spans="1:22" ht="19.5" customHeight="1">
      <c r="A317" s="54"/>
      <c r="B317" s="55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56"/>
      <c r="U317" s="56"/>
      <c r="V317" s="56"/>
    </row>
    <row r="318" spans="1:22" ht="19.5" customHeight="1">
      <c r="A318" s="54"/>
      <c r="B318" s="55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56"/>
      <c r="U318" s="56"/>
      <c r="V318" s="56"/>
    </row>
    <row r="319" spans="1:22" ht="19.5" customHeight="1">
      <c r="A319" s="54"/>
      <c r="B319" s="55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56"/>
      <c r="U319" s="56"/>
      <c r="V319" s="56"/>
    </row>
    <row r="320" spans="1:22" ht="19.5" customHeight="1">
      <c r="A320" s="54"/>
      <c r="B320" s="55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56"/>
      <c r="U320" s="56"/>
      <c r="V320" s="56"/>
    </row>
    <row r="321" spans="1:22" ht="19.5" customHeight="1">
      <c r="A321" s="54"/>
      <c r="B321" s="55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56"/>
      <c r="U321" s="56"/>
      <c r="V321" s="56"/>
    </row>
    <row r="322" spans="1:22" ht="19.5" customHeight="1">
      <c r="A322" s="54"/>
      <c r="B322" s="55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56"/>
      <c r="U322" s="56"/>
      <c r="V322" s="56"/>
    </row>
    <row r="323" spans="1:22" ht="19.5" customHeight="1">
      <c r="A323" s="54"/>
      <c r="B323" s="55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56"/>
      <c r="U323" s="56"/>
      <c r="V323" s="56"/>
    </row>
    <row r="324" spans="1:22" ht="19.5" customHeight="1">
      <c r="A324" s="54"/>
      <c r="B324" s="55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56"/>
      <c r="U324" s="56"/>
      <c r="V324" s="56"/>
    </row>
    <row r="325" spans="1:22" ht="19.5" customHeight="1">
      <c r="A325" s="54"/>
      <c r="B325" s="55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56"/>
      <c r="U325" s="56"/>
      <c r="V325" s="56"/>
    </row>
    <row r="326" spans="1:22" ht="19.5" customHeight="1">
      <c r="A326" s="54"/>
      <c r="B326" s="55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56"/>
      <c r="U326" s="56"/>
      <c r="V326" s="56"/>
    </row>
    <row r="327" spans="1:22" ht="19.5" customHeight="1">
      <c r="A327" s="54"/>
      <c r="B327" s="55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56"/>
      <c r="U327" s="56"/>
      <c r="V327" s="56"/>
    </row>
    <row r="328" spans="1:22" ht="19.5" customHeight="1">
      <c r="A328" s="54"/>
      <c r="B328" s="55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56"/>
      <c r="U328" s="56"/>
      <c r="V328" s="56"/>
    </row>
    <row r="329" spans="1:22" ht="19.5" customHeight="1">
      <c r="A329" s="54"/>
      <c r="B329" s="55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56"/>
      <c r="U329" s="56"/>
      <c r="V329" s="56"/>
    </row>
    <row r="330" spans="1:22" ht="19.5" customHeight="1">
      <c r="A330" s="54"/>
      <c r="B330" s="55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56"/>
      <c r="U330" s="56"/>
      <c r="V330" s="56"/>
    </row>
    <row r="331" spans="1:22" ht="19.5" customHeight="1">
      <c r="A331" s="54"/>
      <c r="B331" s="55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56"/>
      <c r="U331" s="56"/>
      <c r="V331" s="56"/>
    </row>
    <row r="332" spans="1:22" ht="19.5" customHeight="1">
      <c r="A332" s="54"/>
      <c r="B332" s="55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56"/>
      <c r="U332" s="56"/>
      <c r="V332" s="56"/>
    </row>
    <row r="333" spans="1:22" ht="19.5" customHeight="1">
      <c r="A333" s="54"/>
      <c r="B333" s="55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56"/>
      <c r="U333" s="56"/>
      <c r="V333" s="56"/>
    </row>
    <row r="334" spans="1:22" ht="19.5" customHeight="1">
      <c r="A334" s="54"/>
      <c r="B334" s="55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56"/>
      <c r="U334" s="56"/>
      <c r="V334" s="56"/>
    </row>
    <row r="335" spans="1:22" ht="19.5" customHeight="1">
      <c r="A335" s="54"/>
      <c r="B335" s="55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56"/>
      <c r="U335" s="56"/>
      <c r="V335" s="56"/>
    </row>
    <row r="336" spans="1:22" ht="19.5" customHeight="1">
      <c r="A336" s="54"/>
      <c r="B336" s="55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56"/>
      <c r="U336" s="56"/>
      <c r="V336" s="56"/>
    </row>
    <row r="337" spans="1:22" ht="19.5" customHeight="1">
      <c r="A337" s="54"/>
      <c r="B337" s="55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56"/>
      <c r="U337" s="56"/>
      <c r="V337" s="56"/>
    </row>
    <row r="338" spans="1:22" ht="19.5" customHeight="1">
      <c r="A338" s="54"/>
      <c r="B338" s="55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56"/>
      <c r="U338" s="56"/>
      <c r="V338" s="56"/>
    </row>
    <row r="339" spans="1:22" ht="19.5" customHeight="1">
      <c r="A339" s="54"/>
      <c r="B339" s="55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56"/>
      <c r="U339" s="56"/>
      <c r="V339" s="56"/>
    </row>
    <row r="340" spans="1:22" ht="19.5" customHeight="1">
      <c r="A340" s="54"/>
      <c r="B340" s="55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56"/>
      <c r="U340" s="56"/>
      <c r="V340" s="56"/>
    </row>
    <row r="341" spans="1:22" ht="19.5" customHeight="1">
      <c r="A341" s="54"/>
      <c r="B341" s="55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56"/>
      <c r="U341" s="56"/>
      <c r="V341" s="56"/>
    </row>
    <row r="342" spans="1:22" ht="19.5" customHeight="1">
      <c r="A342" s="54"/>
      <c r="B342" s="55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56"/>
      <c r="U342" s="56"/>
      <c r="V342" s="56"/>
    </row>
    <row r="343" spans="1:22" ht="19.5" customHeight="1">
      <c r="A343" s="54"/>
      <c r="B343" s="55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56"/>
      <c r="U343" s="56"/>
      <c r="V343" s="56"/>
    </row>
    <row r="344" spans="1:22" ht="19.5" customHeight="1">
      <c r="A344" s="54"/>
      <c r="B344" s="55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56"/>
      <c r="U344" s="56"/>
      <c r="V344" s="56"/>
    </row>
    <row r="345" spans="1:22" ht="19.5" customHeight="1">
      <c r="A345" s="54"/>
      <c r="B345" s="55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56"/>
      <c r="U345" s="56"/>
      <c r="V345" s="56"/>
    </row>
    <row r="346" spans="1:22" ht="19.5" customHeight="1">
      <c r="A346" s="54"/>
      <c r="B346" s="55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56"/>
      <c r="U346" s="56"/>
      <c r="V346" s="56"/>
    </row>
    <row r="347" spans="1:22" ht="19.5" customHeight="1">
      <c r="A347" s="54"/>
      <c r="B347" s="55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56"/>
      <c r="U347" s="56"/>
      <c r="V347" s="56"/>
    </row>
    <row r="348" spans="1:22" ht="19.5" customHeight="1">
      <c r="A348" s="54"/>
      <c r="B348" s="55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56"/>
      <c r="U348" s="56"/>
      <c r="V348" s="56"/>
    </row>
    <row r="349" spans="1:22" ht="19.5" customHeight="1">
      <c r="A349" s="54"/>
      <c r="B349" s="55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56"/>
      <c r="U349" s="56"/>
      <c r="V349" s="56"/>
    </row>
    <row r="350" spans="1:22" ht="19.5" customHeight="1">
      <c r="A350" s="54"/>
      <c r="B350" s="55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56"/>
      <c r="U350" s="56"/>
      <c r="V350" s="56"/>
    </row>
    <row r="351" spans="1:22" ht="19.5" customHeight="1">
      <c r="A351" s="54"/>
      <c r="B351" s="55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56"/>
      <c r="U351" s="56"/>
      <c r="V351" s="56"/>
    </row>
    <row r="352" spans="1:22" ht="19.5" customHeight="1">
      <c r="A352" s="54"/>
      <c r="B352" s="55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56"/>
      <c r="U352" s="56"/>
      <c r="V352" s="56"/>
    </row>
    <row r="353" spans="1:22" ht="19.5" customHeight="1">
      <c r="A353" s="54"/>
      <c r="B353" s="55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56"/>
      <c r="U353" s="56"/>
      <c r="V353" s="56"/>
    </row>
    <row r="354" spans="1:22" ht="19.5" customHeight="1">
      <c r="A354" s="54"/>
      <c r="B354" s="55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56"/>
      <c r="U354" s="56"/>
      <c r="V354" s="56"/>
    </row>
    <row r="355" spans="1:22" ht="19.5" customHeight="1">
      <c r="A355" s="54"/>
      <c r="B355" s="55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56"/>
      <c r="U355" s="56"/>
      <c r="V355" s="56"/>
    </row>
    <row r="356" spans="1:22" ht="19.5" customHeight="1">
      <c r="A356" s="54"/>
      <c r="B356" s="55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56"/>
      <c r="U356" s="56"/>
      <c r="V356" s="56"/>
    </row>
    <row r="357" spans="1:22" ht="19.5" customHeight="1">
      <c r="A357" s="54"/>
      <c r="B357" s="55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56"/>
      <c r="U357" s="56"/>
      <c r="V357" s="56"/>
    </row>
    <row r="358" spans="1:22" ht="19.5" customHeight="1">
      <c r="A358" s="54"/>
      <c r="B358" s="55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56"/>
      <c r="U358" s="56"/>
      <c r="V358" s="56"/>
    </row>
    <row r="359" spans="1:22" ht="19.5" customHeight="1">
      <c r="A359" s="54"/>
      <c r="B359" s="55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56"/>
      <c r="U359" s="56"/>
      <c r="V359" s="56"/>
    </row>
    <row r="360" spans="1:22" ht="19.5" customHeight="1">
      <c r="A360" s="54"/>
      <c r="B360" s="55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56"/>
      <c r="U360" s="56"/>
      <c r="V360" s="56"/>
    </row>
    <row r="361" spans="1:22" ht="19.5" customHeight="1">
      <c r="A361" s="54"/>
      <c r="B361" s="55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56"/>
      <c r="U361" s="56"/>
      <c r="V361" s="56"/>
    </row>
    <row r="362" spans="1:22" ht="19.5" customHeight="1">
      <c r="A362" s="54"/>
      <c r="B362" s="55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56"/>
      <c r="U362" s="56"/>
      <c r="V362" s="56"/>
    </row>
    <row r="363" spans="1:22" ht="19.5" customHeight="1">
      <c r="A363" s="54"/>
      <c r="B363" s="55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56"/>
      <c r="U363" s="56"/>
      <c r="V363" s="56"/>
    </row>
    <row r="364" spans="1:22" ht="19.5" customHeight="1">
      <c r="A364" s="54"/>
      <c r="B364" s="55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56"/>
      <c r="U364" s="56"/>
      <c r="V364" s="56"/>
    </row>
    <row r="365" spans="1:22" ht="19.5" customHeight="1">
      <c r="A365" s="54"/>
      <c r="B365" s="55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56"/>
      <c r="U365" s="56"/>
      <c r="V365" s="56"/>
    </row>
    <row r="366" spans="1:22" ht="19.5" customHeight="1">
      <c r="A366" s="54"/>
      <c r="B366" s="55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56"/>
      <c r="U366" s="56"/>
      <c r="V366" s="56"/>
    </row>
    <row r="367" spans="1:22" ht="19.5" customHeight="1">
      <c r="A367" s="54"/>
      <c r="B367" s="55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56"/>
      <c r="U367" s="56"/>
      <c r="V367" s="56"/>
    </row>
    <row r="368" spans="1:22" ht="19.5" customHeight="1">
      <c r="A368" s="54"/>
      <c r="B368" s="55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56"/>
      <c r="U368" s="56"/>
      <c r="V368" s="56"/>
    </row>
    <row r="369" spans="1:22" ht="19.5" customHeight="1">
      <c r="A369" s="54"/>
      <c r="B369" s="55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56"/>
      <c r="U369" s="56"/>
      <c r="V369" s="56"/>
    </row>
    <row r="370" spans="1:22" ht="19.5" customHeight="1">
      <c r="A370" s="54"/>
      <c r="B370" s="55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56"/>
      <c r="U370" s="56"/>
      <c r="V370" s="56"/>
    </row>
    <row r="371" spans="1:22" ht="19.5" customHeight="1">
      <c r="A371" s="54"/>
      <c r="B371" s="55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56"/>
      <c r="U371" s="56"/>
      <c r="V371" s="56"/>
    </row>
    <row r="372" spans="1:22" ht="19.5" customHeight="1">
      <c r="A372" s="54"/>
      <c r="B372" s="55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56"/>
      <c r="U372" s="56"/>
      <c r="V372" s="56"/>
    </row>
    <row r="373" spans="1:22" ht="19.5" customHeight="1">
      <c r="A373" s="54"/>
      <c r="B373" s="55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56"/>
      <c r="U373" s="56"/>
      <c r="V373" s="56"/>
    </row>
    <row r="374" spans="1:22" ht="19.5" customHeight="1">
      <c r="A374" s="54"/>
      <c r="B374" s="55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56"/>
      <c r="U374" s="56"/>
      <c r="V374" s="56"/>
    </row>
    <row r="375" spans="1:22" ht="19.5" customHeight="1">
      <c r="A375" s="54"/>
      <c r="B375" s="55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56"/>
      <c r="U375" s="56"/>
      <c r="V375" s="56"/>
    </row>
    <row r="376" spans="1:22" ht="19.5" customHeight="1">
      <c r="A376" s="54"/>
      <c r="B376" s="55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56"/>
      <c r="U376" s="56"/>
      <c r="V376" s="56"/>
    </row>
    <row r="377" spans="1:22" ht="19.5" customHeight="1">
      <c r="A377" s="54"/>
      <c r="B377" s="55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56"/>
      <c r="U377" s="56"/>
      <c r="V377" s="56"/>
    </row>
    <row r="378" spans="1:22" ht="19.5" customHeight="1">
      <c r="A378" s="54"/>
      <c r="B378" s="55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56"/>
      <c r="U378" s="56"/>
      <c r="V378" s="56"/>
    </row>
    <row r="379" spans="1:22" ht="19.5" customHeight="1">
      <c r="A379" s="54"/>
      <c r="B379" s="55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56"/>
      <c r="U379" s="56"/>
      <c r="V379" s="56"/>
    </row>
    <row r="380" spans="1:22" ht="19.5" customHeight="1">
      <c r="A380" s="54"/>
      <c r="B380" s="55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56"/>
      <c r="U380" s="56"/>
      <c r="V380" s="56"/>
    </row>
    <row r="381" spans="1:22" ht="19.5" customHeight="1">
      <c r="A381" s="54"/>
      <c r="B381" s="55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56"/>
      <c r="U381" s="56"/>
      <c r="V381" s="56"/>
    </row>
    <row r="382" spans="1:22" ht="19.5" customHeight="1">
      <c r="A382" s="54"/>
      <c r="B382" s="55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56"/>
      <c r="U382" s="56"/>
      <c r="V382" s="56"/>
    </row>
    <row r="383" spans="1:22" ht="19.5" customHeight="1">
      <c r="A383" s="54"/>
      <c r="B383" s="55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56"/>
      <c r="U383" s="56"/>
      <c r="V383" s="56"/>
    </row>
    <row r="384" spans="1:22" ht="19.5" customHeight="1">
      <c r="A384" s="54"/>
      <c r="B384" s="55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56"/>
      <c r="U384" s="56"/>
      <c r="V384" s="56"/>
    </row>
    <row r="385" spans="1:22" ht="19.5" customHeight="1">
      <c r="A385" s="54"/>
      <c r="B385" s="55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56"/>
      <c r="U385" s="56"/>
      <c r="V385" s="56"/>
    </row>
    <row r="386" spans="1:22" ht="19.5" customHeight="1">
      <c r="A386" s="54"/>
      <c r="B386" s="55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56"/>
      <c r="U386" s="56"/>
      <c r="V386" s="56"/>
    </row>
    <row r="387" spans="1:22" ht="19.5" customHeight="1">
      <c r="A387" s="54"/>
      <c r="B387" s="55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56"/>
      <c r="U387" s="56"/>
      <c r="V387" s="56"/>
    </row>
    <row r="388" spans="1:22" ht="19.5" customHeight="1">
      <c r="A388" s="54"/>
      <c r="B388" s="55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56"/>
      <c r="U388" s="56"/>
      <c r="V388" s="56"/>
    </row>
    <row r="389" spans="1:22" ht="19.5" customHeight="1">
      <c r="A389" s="54"/>
      <c r="B389" s="55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56"/>
      <c r="U389" s="56"/>
      <c r="V389" s="56"/>
    </row>
    <row r="390" spans="1:22" ht="19.5" customHeight="1">
      <c r="A390" s="54"/>
      <c r="B390" s="55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56"/>
      <c r="U390" s="56"/>
      <c r="V390" s="56"/>
    </row>
    <row r="391" spans="1:22" ht="19.5" customHeight="1">
      <c r="A391" s="54"/>
      <c r="B391" s="55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56"/>
      <c r="U391" s="56"/>
      <c r="V391" s="56"/>
    </row>
    <row r="392" spans="1:22" ht="19.5" customHeight="1">
      <c r="A392" s="54"/>
      <c r="B392" s="55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56"/>
      <c r="U392" s="56"/>
      <c r="V392" s="56"/>
    </row>
    <row r="393" spans="1:22" ht="19.5" customHeight="1">
      <c r="A393" s="54"/>
      <c r="B393" s="55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56"/>
      <c r="U393" s="56"/>
      <c r="V393" s="56"/>
    </row>
    <row r="394" spans="1:22" ht="19.5" customHeight="1">
      <c r="A394" s="54"/>
      <c r="B394" s="55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56"/>
      <c r="U394" s="56"/>
      <c r="V394" s="56"/>
    </row>
    <row r="395" spans="1:22" ht="19.5" customHeight="1">
      <c r="A395" s="54"/>
      <c r="B395" s="55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56"/>
      <c r="U395" s="56"/>
      <c r="V395" s="56"/>
    </row>
    <row r="396" spans="1:22" ht="19.5" customHeight="1">
      <c r="A396" s="54"/>
      <c r="B396" s="55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56"/>
      <c r="U396" s="56"/>
      <c r="V396" s="56"/>
    </row>
    <row r="397" spans="1:22" ht="19.5" customHeight="1">
      <c r="A397" s="54"/>
      <c r="B397" s="55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56"/>
      <c r="U397" s="56"/>
      <c r="V397" s="56"/>
    </row>
    <row r="398" spans="1:22" ht="19.5" customHeight="1">
      <c r="A398" s="54"/>
      <c r="B398" s="55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56"/>
      <c r="U398" s="56"/>
      <c r="V398" s="56"/>
    </row>
    <row r="399" spans="1:22" ht="19.5" customHeight="1">
      <c r="A399" s="54"/>
      <c r="B399" s="55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56"/>
      <c r="U399" s="56"/>
      <c r="V399" s="56"/>
    </row>
    <row r="400" spans="1:22" ht="19.5" customHeight="1">
      <c r="A400" s="54"/>
      <c r="B400" s="55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56"/>
      <c r="U400" s="56"/>
      <c r="V400" s="56"/>
    </row>
    <row r="401" spans="1:22" ht="19.5" customHeight="1">
      <c r="A401" s="54"/>
      <c r="B401" s="55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56"/>
      <c r="U401" s="56"/>
      <c r="V401" s="56"/>
    </row>
    <row r="402" spans="1:22" ht="19.5" customHeight="1">
      <c r="A402" s="54"/>
      <c r="B402" s="55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56"/>
      <c r="U402" s="56"/>
      <c r="V402" s="56"/>
    </row>
    <row r="403" spans="1:22" ht="19.5" customHeight="1">
      <c r="A403" s="54"/>
      <c r="B403" s="55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56"/>
      <c r="U403" s="56"/>
      <c r="V403" s="56"/>
    </row>
    <row r="404" spans="1:22" ht="19.5" customHeight="1">
      <c r="A404" s="54"/>
      <c r="B404" s="55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56"/>
      <c r="U404" s="56"/>
      <c r="V404" s="56"/>
    </row>
    <row r="405" spans="1:22" ht="19.5" customHeight="1">
      <c r="A405" s="54"/>
      <c r="B405" s="55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56"/>
      <c r="U405" s="56"/>
      <c r="V405" s="56"/>
    </row>
    <row r="406" spans="1:22" ht="19.5" customHeight="1">
      <c r="A406" s="54"/>
      <c r="B406" s="55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56"/>
      <c r="U406" s="56"/>
      <c r="V406" s="56"/>
    </row>
    <row r="407" spans="1:22" ht="19.5" customHeight="1">
      <c r="A407" s="54"/>
      <c r="B407" s="55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56"/>
      <c r="U407" s="56"/>
      <c r="V407" s="56"/>
    </row>
    <row r="408" spans="1:22" ht="19.5" customHeight="1">
      <c r="A408" s="54"/>
      <c r="B408" s="55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56"/>
      <c r="U408" s="56"/>
      <c r="V408" s="56"/>
    </row>
    <row r="409" spans="1:22" ht="19.5" customHeight="1">
      <c r="A409" s="54"/>
      <c r="B409" s="55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56"/>
      <c r="U409" s="56"/>
      <c r="V409" s="56"/>
    </row>
    <row r="410" spans="1:22" ht="19.5" customHeight="1">
      <c r="A410" s="54"/>
      <c r="B410" s="55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56"/>
      <c r="U410" s="56"/>
      <c r="V410" s="56"/>
    </row>
    <row r="411" spans="1:22" ht="19.5" customHeight="1">
      <c r="A411" s="54"/>
      <c r="B411" s="55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56"/>
      <c r="U411" s="56"/>
      <c r="V411" s="56"/>
    </row>
    <row r="412" spans="1:22" ht="19.5" customHeight="1">
      <c r="A412" s="54"/>
      <c r="B412" s="55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56"/>
      <c r="U412" s="56"/>
      <c r="V412" s="56"/>
    </row>
    <row r="413" spans="1:22" ht="19.5" customHeight="1">
      <c r="A413" s="54"/>
      <c r="B413" s="55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56"/>
      <c r="U413" s="56"/>
      <c r="V413" s="56"/>
    </row>
    <row r="414" spans="1:22" ht="19.5" customHeight="1">
      <c r="A414" s="54"/>
      <c r="B414" s="55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56"/>
      <c r="U414" s="56"/>
      <c r="V414" s="56"/>
    </row>
    <row r="415" spans="1:22" ht="19.5" customHeight="1">
      <c r="A415" s="54"/>
      <c r="B415" s="55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56"/>
      <c r="U415" s="56"/>
      <c r="V415" s="56"/>
    </row>
    <row r="416" spans="1:22" ht="19.5" customHeight="1">
      <c r="A416" s="54"/>
      <c r="B416" s="55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56"/>
      <c r="U416" s="56"/>
      <c r="V416" s="56"/>
    </row>
    <row r="417" spans="1:22" ht="19.5" customHeight="1">
      <c r="A417" s="54"/>
      <c r="B417" s="55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56"/>
      <c r="U417" s="56"/>
      <c r="V417" s="56"/>
    </row>
    <row r="418" spans="1:22" ht="19.5" customHeight="1">
      <c r="A418" s="54"/>
      <c r="B418" s="55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56"/>
      <c r="U418" s="56"/>
      <c r="V418" s="56"/>
    </row>
    <row r="419" spans="1:22" ht="19.5" customHeight="1">
      <c r="A419" s="54"/>
      <c r="B419" s="55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56"/>
      <c r="U419" s="56"/>
      <c r="V419" s="56"/>
    </row>
    <row r="420" spans="1:22" ht="19.5" customHeight="1">
      <c r="A420" s="54"/>
      <c r="B420" s="55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56"/>
      <c r="U420" s="56"/>
      <c r="V420" s="56"/>
    </row>
    <row r="421" spans="1:22" ht="19.5" customHeight="1">
      <c r="A421" s="54"/>
      <c r="B421" s="55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56"/>
      <c r="U421" s="56"/>
      <c r="V421" s="56"/>
    </row>
    <row r="422" spans="1:22" ht="19.5" customHeight="1">
      <c r="A422" s="54"/>
      <c r="B422" s="55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56"/>
      <c r="U422" s="56"/>
      <c r="V422" s="56"/>
    </row>
    <row r="423" spans="1:22" ht="19.5" customHeight="1">
      <c r="A423" s="54"/>
      <c r="B423" s="55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56"/>
      <c r="U423" s="56"/>
      <c r="V423" s="56"/>
    </row>
    <row r="424" spans="1:22" ht="19.5" customHeight="1">
      <c r="A424" s="54"/>
      <c r="B424" s="55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56"/>
      <c r="U424" s="56"/>
      <c r="V424" s="56"/>
    </row>
    <row r="425" spans="1:22" ht="19.5" customHeight="1">
      <c r="A425" s="54"/>
      <c r="B425" s="55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56"/>
      <c r="U425" s="56"/>
      <c r="V425" s="56"/>
    </row>
    <row r="426" spans="1:22" ht="19.5" customHeight="1">
      <c r="A426" s="54"/>
      <c r="B426" s="55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56"/>
      <c r="U426" s="56"/>
      <c r="V426" s="56"/>
    </row>
    <row r="427" spans="1:22" ht="19.5" customHeight="1">
      <c r="A427" s="54"/>
      <c r="B427" s="55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56"/>
      <c r="U427" s="56"/>
      <c r="V427" s="56"/>
    </row>
    <row r="428" spans="1:22" ht="19.5" customHeight="1">
      <c r="A428" s="54"/>
      <c r="B428" s="55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56"/>
      <c r="U428" s="56"/>
      <c r="V428" s="56"/>
    </row>
    <row r="429" spans="1:22" ht="19.5" customHeight="1">
      <c r="A429" s="54"/>
      <c r="B429" s="55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56"/>
      <c r="U429" s="56"/>
      <c r="V429" s="56"/>
    </row>
    <row r="430" spans="1:22" ht="19.5" customHeight="1">
      <c r="A430" s="54"/>
      <c r="B430" s="55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56"/>
      <c r="U430" s="56"/>
      <c r="V430" s="56"/>
    </row>
    <row r="431" spans="1:22" ht="19.5" customHeight="1">
      <c r="A431" s="54"/>
      <c r="B431" s="55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56"/>
      <c r="U431" s="56"/>
      <c r="V431" s="56"/>
    </row>
    <row r="432" spans="1:22" ht="19.5" customHeight="1">
      <c r="A432" s="54"/>
      <c r="B432" s="55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56"/>
      <c r="U432" s="56"/>
      <c r="V432" s="56"/>
    </row>
    <row r="433" spans="1:22" ht="19.5" customHeight="1">
      <c r="A433" s="54"/>
      <c r="B433" s="55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56"/>
      <c r="U433" s="56"/>
      <c r="V433" s="56"/>
    </row>
    <row r="434" spans="1:22" ht="19.5" customHeight="1">
      <c r="A434" s="54"/>
      <c r="B434" s="55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56"/>
      <c r="U434" s="56"/>
      <c r="V434" s="56"/>
    </row>
    <row r="435" spans="1:22" ht="19.5" customHeight="1">
      <c r="A435" s="54"/>
      <c r="B435" s="55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56"/>
      <c r="U435" s="56"/>
      <c r="V435" s="56"/>
    </row>
    <row r="436" spans="1:22" ht="19.5" customHeight="1">
      <c r="A436" s="54"/>
      <c r="B436" s="55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56"/>
      <c r="U436" s="56"/>
      <c r="V436" s="56"/>
    </row>
    <row r="437" spans="1:22" ht="19.5" customHeight="1">
      <c r="A437" s="54"/>
      <c r="B437" s="55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56"/>
      <c r="U437" s="56"/>
      <c r="V437" s="56"/>
    </row>
    <row r="438" spans="1:22" ht="19.5" customHeight="1">
      <c r="A438" s="54"/>
      <c r="B438" s="55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56"/>
      <c r="U438" s="56"/>
      <c r="V438" s="56"/>
    </row>
    <row r="439" spans="1:22" ht="19.5" customHeight="1">
      <c r="A439" s="54"/>
      <c r="B439" s="55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56"/>
      <c r="U439" s="56"/>
      <c r="V439" s="56"/>
    </row>
    <row r="440" spans="1:22" ht="19.5" customHeight="1">
      <c r="A440" s="54"/>
      <c r="B440" s="55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56"/>
      <c r="U440" s="56"/>
      <c r="V440" s="56"/>
    </row>
    <row r="441" spans="1:22" ht="19.5" customHeight="1">
      <c r="A441" s="54"/>
      <c r="B441" s="55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56"/>
      <c r="U441" s="56"/>
      <c r="V441" s="56"/>
    </row>
    <row r="442" spans="1:22" ht="19.5" customHeight="1">
      <c r="A442" s="54"/>
      <c r="B442" s="55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56"/>
      <c r="U442" s="56"/>
      <c r="V442" s="56"/>
    </row>
    <row r="443" spans="1:22" ht="19.5" customHeight="1">
      <c r="A443" s="54"/>
      <c r="B443" s="55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56"/>
      <c r="U443" s="56"/>
      <c r="V443" s="56"/>
    </row>
    <row r="444" spans="1:22" ht="19.5" customHeight="1">
      <c r="A444" s="54"/>
      <c r="B444" s="55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56"/>
      <c r="U444" s="56"/>
      <c r="V444" s="56"/>
    </row>
    <row r="445" spans="1:22" ht="19.5" customHeight="1">
      <c r="A445" s="54"/>
      <c r="B445" s="55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56"/>
      <c r="U445" s="56"/>
      <c r="V445" s="56"/>
    </row>
    <row r="446" spans="1:22" ht="19.5" customHeight="1">
      <c r="A446" s="54"/>
      <c r="B446" s="55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56"/>
      <c r="U446" s="56"/>
      <c r="V446" s="56"/>
    </row>
    <row r="447" spans="1:22" ht="19.5" customHeight="1">
      <c r="A447" s="54"/>
      <c r="B447" s="55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56"/>
      <c r="U447" s="56"/>
      <c r="V447" s="56"/>
    </row>
    <row r="448" spans="1:22" ht="19.5" customHeight="1">
      <c r="A448" s="54"/>
      <c r="B448" s="55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56"/>
      <c r="U448" s="56"/>
      <c r="V448" s="56"/>
    </row>
    <row r="449" spans="1:22" ht="19.5" customHeight="1">
      <c r="A449" s="54"/>
      <c r="B449" s="55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56"/>
      <c r="U449" s="56"/>
      <c r="V449" s="56"/>
    </row>
    <row r="450" spans="1:22" ht="19.5" customHeight="1">
      <c r="A450" s="54"/>
      <c r="B450" s="55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56"/>
      <c r="U450" s="56"/>
      <c r="V450" s="56"/>
    </row>
    <row r="451" spans="1:22" ht="19.5" customHeight="1">
      <c r="A451" s="54"/>
      <c r="B451" s="55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56"/>
      <c r="U451" s="56"/>
      <c r="V451" s="56"/>
    </row>
    <row r="452" spans="1:22" ht="19.5" customHeight="1">
      <c r="A452" s="54"/>
      <c r="B452" s="55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56"/>
      <c r="U452" s="56"/>
      <c r="V452" s="56"/>
    </row>
    <row r="453" spans="1:22" ht="19.5" customHeight="1">
      <c r="A453" s="54"/>
      <c r="B453" s="55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56"/>
      <c r="U453" s="56"/>
      <c r="V453" s="56"/>
    </row>
    <row r="454" spans="1:22" ht="19.5" customHeight="1">
      <c r="A454" s="54"/>
      <c r="B454" s="55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56"/>
      <c r="U454" s="56"/>
      <c r="V454" s="56"/>
    </row>
    <row r="455" spans="1:22" ht="19.5" customHeight="1">
      <c r="A455" s="54"/>
      <c r="B455" s="55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56"/>
      <c r="U455" s="56"/>
      <c r="V455" s="56"/>
    </row>
    <row r="456" spans="1:22" ht="19.5" customHeight="1">
      <c r="A456" s="54"/>
      <c r="B456" s="55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56"/>
      <c r="U456" s="56"/>
      <c r="V456" s="56"/>
    </row>
    <row r="457" spans="1:22" ht="19.5" customHeight="1">
      <c r="A457" s="54"/>
      <c r="B457" s="55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56"/>
      <c r="U457" s="56"/>
      <c r="V457" s="56"/>
    </row>
    <row r="458" spans="1:22" ht="19.5" customHeight="1">
      <c r="A458" s="54"/>
      <c r="B458" s="55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56"/>
      <c r="U458" s="56"/>
      <c r="V458" s="56"/>
    </row>
    <row r="459" spans="1:22" ht="19.5" customHeight="1">
      <c r="A459" s="54"/>
      <c r="B459" s="55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56"/>
      <c r="U459" s="56"/>
      <c r="V459" s="56"/>
    </row>
    <row r="460" spans="1:22" ht="19.5" customHeight="1">
      <c r="A460" s="54"/>
      <c r="B460" s="55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56"/>
      <c r="U460" s="56"/>
      <c r="V460" s="56"/>
    </row>
    <row r="461" spans="1:22" ht="19.5" customHeight="1">
      <c r="A461" s="54"/>
      <c r="B461" s="55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56"/>
      <c r="U461" s="56"/>
      <c r="V461" s="56"/>
    </row>
    <row r="462" spans="1:22" ht="19.5" customHeight="1">
      <c r="A462" s="54"/>
      <c r="B462" s="55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56"/>
      <c r="U462" s="56"/>
      <c r="V462" s="56"/>
    </row>
    <row r="463" spans="1:22" ht="19.5" customHeight="1">
      <c r="A463" s="54"/>
      <c r="B463" s="55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56"/>
      <c r="U463" s="56"/>
      <c r="V463" s="56"/>
    </row>
    <row r="464" spans="1:22" ht="19.5" customHeight="1">
      <c r="A464" s="54"/>
      <c r="B464" s="55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56"/>
      <c r="U464" s="56"/>
      <c r="V464" s="56"/>
    </row>
    <row r="465" spans="1:22" ht="19.5" customHeight="1">
      <c r="A465" s="54"/>
      <c r="B465" s="55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56"/>
      <c r="U465" s="56"/>
      <c r="V465" s="56"/>
    </row>
    <row r="466" spans="1:22" ht="19.5" customHeight="1">
      <c r="A466" s="54"/>
      <c r="B466" s="55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56"/>
      <c r="U466" s="56"/>
      <c r="V466" s="56"/>
    </row>
    <row r="467" spans="1:22" ht="19.5" customHeight="1">
      <c r="A467" s="54"/>
      <c r="B467" s="55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56"/>
      <c r="U467" s="56"/>
      <c r="V467" s="56"/>
    </row>
    <row r="468" spans="1:22" ht="19.5" customHeight="1">
      <c r="A468" s="54"/>
      <c r="B468" s="55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56"/>
      <c r="U468" s="56"/>
      <c r="V468" s="56"/>
    </row>
    <row r="469" spans="1:22" ht="19.5" customHeight="1">
      <c r="A469" s="54"/>
      <c r="B469" s="55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56"/>
      <c r="U469" s="56"/>
      <c r="V469" s="56"/>
    </row>
    <row r="470" spans="1:22" ht="19.5" customHeight="1">
      <c r="A470" s="54"/>
      <c r="B470" s="55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56"/>
      <c r="U470" s="56"/>
      <c r="V470" s="56"/>
    </row>
    <row r="471" spans="1:22" ht="19.5" customHeight="1">
      <c r="A471" s="54"/>
      <c r="B471" s="55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56"/>
      <c r="U471" s="56"/>
      <c r="V471" s="56"/>
    </row>
    <row r="472" spans="1:22" ht="19.5" customHeight="1">
      <c r="A472" s="54"/>
      <c r="B472" s="55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56"/>
      <c r="U472" s="56"/>
      <c r="V472" s="56"/>
    </row>
    <row r="473" spans="1:22" ht="19.5" customHeight="1">
      <c r="A473" s="54"/>
      <c r="B473" s="55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56"/>
      <c r="U473" s="56"/>
      <c r="V473" s="56"/>
    </row>
    <row r="474" spans="1:22" ht="19.5" customHeight="1">
      <c r="A474" s="54"/>
      <c r="B474" s="55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56"/>
      <c r="U474" s="56"/>
      <c r="V474" s="56"/>
    </row>
    <row r="475" spans="1:22" ht="19.5" customHeight="1">
      <c r="A475" s="54"/>
      <c r="B475" s="55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56"/>
      <c r="U475" s="56"/>
      <c r="V475" s="56"/>
    </row>
    <row r="476" spans="1:22" ht="19.5" customHeight="1">
      <c r="A476" s="54"/>
      <c r="B476" s="55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56"/>
      <c r="U476" s="56"/>
      <c r="V476" s="56"/>
    </row>
    <row r="477" spans="1:22" ht="19.5" customHeight="1">
      <c r="A477" s="54"/>
      <c r="B477" s="55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56"/>
      <c r="U477" s="56"/>
      <c r="V477" s="56"/>
    </row>
    <row r="478" spans="1:22" ht="19.5" customHeight="1">
      <c r="A478" s="54"/>
      <c r="B478" s="55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56"/>
      <c r="U478" s="56"/>
      <c r="V478" s="56"/>
    </row>
    <row r="479" spans="1:22" ht="19.5" customHeight="1">
      <c r="A479" s="54"/>
      <c r="B479" s="55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56"/>
      <c r="U479" s="56"/>
      <c r="V479" s="56"/>
    </row>
    <row r="480" spans="1:22" ht="19.5" customHeight="1">
      <c r="A480" s="54"/>
      <c r="B480" s="55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56"/>
      <c r="U480" s="56"/>
      <c r="V480" s="56"/>
    </row>
    <row r="481" spans="1:22" ht="19.5" customHeight="1">
      <c r="A481" s="54"/>
      <c r="B481" s="55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56"/>
      <c r="U481" s="56"/>
      <c r="V481" s="56"/>
    </row>
    <row r="482" spans="1:22" ht="19.5" customHeight="1">
      <c r="A482" s="54"/>
      <c r="B482" s="55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56"/>
      <c r="U482" s="56"/>
      <c r="V482" s="56"/>
    </row>
    <row r="483" spans="1:22" ht="19.5" customHeight="1">
      <c r="A483" s="54"/>
      <c r="B483" s="55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56"/>
      <c r="U483" s="56"/>
      <c r="V483" s="56"/>
    </row>
    <row r="484" spans="1:22" ht="19.5" customHeight="1">
      <c r="A484" s="54"/>
      <c r="B484" s="55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56"/>
      <c r="U484" s="56"/>
      <c r="V484" s="56"/>
    </row>
    <row r="485" spans="1:22" ht="19.5" customHeight="1">
      <c r="A485" s="54"/>
      <c r="B485" s="55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56"/>
      <c r="U485" s="56"/>
      <c r="V485" s="56"/>
    </row>
    <row r="486" spans="1:22" ht="19.5" customHeight="1">
      <c r="A486" s="54"/>
      <c r="B486" s="55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56"/>
      <c r="U486" s="56"/>
      <c r="V486" s="56"/>
    </row>
    <row r="487" spans="1:22" ht="19.5" customHeight="1">
      <c r="A487" s="54"/>
      <c r="B487" s="55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56"/>
      <c r="U487" s="56"/>
      <c r="V487" s="56"/>
    </row>
    <row r="488" spans="1:22" ht="19.5" customHeight="1">
      <c r="A488" s="54"/>
      <c r="B488" s="55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56"/>
      <c r="U488" s="56"/>
      <c r="V488" s="56"/>
    </row>
    <row r="489" spans="1:22" ht="19.5" customHeight="1">
      <c r="A489" s="54"/>
      <c r="B489" s="55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56"/>
      <c r="U489" s="56"/>
      <c r="V489" s="56"/>
    </row>
    <row r="490" spans="1:22" ht="19.5" customHeight="1">
      <c r="A490" s="54"/>
      <c r="B490" s="55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56"/>
      <c r="U490" s="56"/>
      <c r="V490" s="56"/>
    </row>
    <row r="491" spans="1:22" ht="19.5" customHeight="1">
      <c r="A491" s="54"/>
      <c r="B491" s="55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56"/>
      <c r="U491" s="56"/>
      <c r="V491" s="56"/>
    </row>
    <row r="492" spans="1:22" ht="19.5" customHeight="1">
      <c r="A492" s="54"/>
      <c r="B492" s="55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56"/>
      <c r="U492" s="56"/>
      <c r="V492" s="56"/>
    </row>
    <row r="493" spans="1:22" ht="19.5" customHeight="1">
      <c r="A493" s="54"/>
      <c r="B493" s="55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56"/>
      <c r="U493" s="56"/>
      <c r="V493" s="56"/>
    </row>
    <row r="494" spans="1:22" ht="19.5" customHeight="1">
      <c r="A494" s="54"/>
      <c r="B494" s="55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56"/>
      <c r="U494" s="56"/>
      <c r="V494" s="56"/>
    </row>
    <row r="495" spans="1:22" ht="19.5" customHeight="1">
      <c r="A495" s="54"/>
      <c r="B495" s="55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56"/>
      <c r="U495" s="56"/>
      <c r="V495" s="56"/>
    </row>
    <row r="496" spans="1:22" ht="19.5" customHeight="1">
      <c r="A496" s="54"/>
      <c r="B496" s="55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56"/>
      <c r="U496" s="56"/>
      <c r="V496" s="56"/>
    </row>
    <row r="497" spans="1:22" ht="19.5" customHeight="1">
      <c r="A497" s="54"/>
      <c r="B497" s="55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56"/>
      <c r="U497" s="56"/>
      <c r="V497" s="56"/>
    </row>
    <row r="498" spans="1:22" ht="19.5" customHeight="1">
      <c r="A498" s="54"/>
      <c r="B498" s="55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56"/>
      <c r="U498" s="56"/>
      <c r="V498" s="56"/>
    </row>
    <row r="499" spans="1:22" ht="19.5" customHeight="1">
      <c r="A499" s="54"/>
      <c r="B499" s="55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56"/>
      <c r="U499" s="56"/>
      <c r="V499" s="56"/>
    </row>
    <row r="500" spans="1:22" ht="19.5" customHeight="1">
      <c r="A500" s="54"/>
      <c r="B500" s="55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56"/>
      <c r="U500" s="56"/>
      <c r="V500" s="56"/>
    </row>
    <row r="501" spans="1:22" ht="19.5" customHeight="1">
      <c r="A501" s="54"/>
      <c r="B501" s="55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56"/>
      <c r="U501" s="56"/>
      <c r="V501" s="56"/>
    </row>
    <row r="502" spans="1:22" ht="19.5" customHeight="1">
      <c r="A502" s="54"/>
      <c r="B502" s="55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56"/>
      <c r="U502" s="56"/>
      <c r="V502" s="56"/>
    </row>
    <row r="503" spans="1:22" ht="19.5" customHeight="1">
      <c r="A503" s="54"/>
      <c r="B503" s="55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56"/>
      <c r="U503" s="56"/>
      <c r="V503" s="56"/>
    </row>
    <row r="504" spans="1:22" ht="19.5" customHeight="1">
      <c r="A504" s="54"/>
      <c r="B504" s="55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56"/>
      <c r="U504" s="56"/>
      <c r="V504" s="56"/>
    </row>
    <row r="505" spans="1:22" ht="19.5" customHeight="1">
      <c r="A505" s="54"/>
      <c r="B505" s="55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56"/>
      <c r="U505" s="56"/>
      <c r="V505" s="56"/>
    </row>
    <row r="506" spans="1:22" ht="19.5" customHeight="1">
      <c r="A506" s="54"/>
      <c r="B506" s="55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56"/>
      <c r="U506" s="56"/>
      <c r="V506" s="56"/>
    </row>
    <row r="507" spans="1:22" ht="19.5" customHeight="1">
      <c r="A507" s="54"/>
      <c r="B507" s="55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56"/>
      <c r="U507" s="56"/>
      <c r="V507" s="56"/>
    </row>
    <row r="508" spans="1:22" ht="19.5" customHeight="1">
      <c r="A508" s="54"/>
      <c r="B508" s="55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56"/>
      <c r="U508" s="56"/>
      <c r="V508" s="56"/>
    </row>
    <row r="509" spans="1:22" ht="19.5" customHeight="1">
      <c r="A509" s="54"/>
      <c r="B509" s="55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56"/>
      <c r="U509" s="56"/>
      <c r="V509" s="56"/>
    </row>
    <row r="510" spans="1:22" ht="19.5" customHeight="1">
      <c r="A510" s="54"/>
      <c r="B510" s="55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56"/>
      <c r="U510" s="56"/>
      <c r="V510" s="56"/>
    </row>
    <row r="511" spans="1:22" ht="19.5" customHeight="1">
      <c r="A511" s="54"/>
      <c r="B511" s="55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56"/>
      <c r="U511" s="56"/>
      <c r="V511" s="56"/>
    </row>
    <row r="512" spans="1:22" ht="19.5" customHeight="1">
      <c r="A512" s="54"/>
      <c r="B512" s="55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56"/>
      <c r="U512" s="56"/>
      <c r="V512" s="56"/>
    </row>
    <row r="513" spans="1:22" ht="19.5" customHeight="1">
      <c r="A513" s="54"/>
      <c r="B513" s="55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56"/>
      <c r="U513" s="56"/>
      <c r="V513" s="56"/>
    </row>
    <row r="514" spans="1:22" ht="19.5" customHeight="1">
      <c r="A514" s="54"/>
      <c r="B514" s="55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56"/>
      <c r="U514" s="56"/>
      <c r="V514" s="56"/>
    </row>
    <row r="515" spans="1:22" ht="19.5" customHeight="1">
      <c r="A515" s="54"/>
      <c r="B515" s="55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56"/>
      <c r="U515" s="56"/>
      <c r="V515" s="56"/>
    </row>
    <row r="516" spans="1:22" ht="19.5" customHeight="1">
      <c r="A516" s="54"/>
      <c r="B516" s="55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56"/>
      <c r="U516" s="56"/>
      <c r="V516" s="56"/>
    </row>
    <row r="517" spans="1:22" ht="19.5" customHeight="1">
      <c r="A517" s="54"/>
      <c r="B517" s="55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56"/>
      <c r="U517" s="56"/>
      <c r="V517" s="56"/>
    </row>
    <row r="518" spans="1:22" ht="19.5" customHeight="1">
      <c r="A518" s="54"/>
      <c r="B518" s="55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56"/>
      <c r="U518" s="56"/>
      <c r="V518" s="56"/>
    </row>
    <row r="519" spans="1:22" ht="19.5" customHeight="1">
      <c r="A519" s="54"/>
      <c r="B519" s="55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56"/>
      <c r="U519" s="56"/>
      <c r="V519" s="56"/>
    </row>
    <row r="520" spans="1:22" ht="19.5" customHeight="1">
      <c r="A520" s="54"/>
      <c r="B520" s="55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56"/>
      <c r="U520" s="56"/>
      <c r="V520" s="56"/>
    </row>
    <row r="521" spans="1:22" ht="19.5" customHeight="1">
      <c r="A521" s="54"/>
      <c r="B521" s="55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56"/>
      <c r="U521" s="56"/>
      <c r="V521" s="56"/>
    </row>
    <row r="522" spans="1:22" ht="19.5" customHeight="1">
      <c r="A522" s="54"/>
      <c r="B522" s="55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56"/>
      <c r="U522" s="56"/>
      <c r="V522" s="56"/>
    </row>
    <row r="523" spans="1:22" ht="19.5" customHeight="1">
      <c r="A523" s="54"/>
      <c r="B523" s="55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56"/>
      <c r="U523" s="56"/>
      <c r="V523" s="56"/>
    </row>
    <row r="524" spans="1:22" ht="19.5" customHeight="1">
      <c r="A524" s="54"/>
      <c r="B524" s="55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56"/>
      <c r="U524" s="56"/>
      <c r="V524" s="56"/>
    </row>
    <row r="525" spans="1:22" ht="19.5" customHeight="1">
      <c r="A525" s="54"/>
      <c r="B525" s="55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56"/>
      <c r="U525" s="56"/>
      <c r="V525" s="56"/>
    </row>
    <row r="526" spans="1:22" ht="19.5" customHeight="1">
      <c r="A526" s="54"/>
      <c r="B526" s="55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56"/>
      <c r="U526" s="56"/>
      <c r="V526" s="56"/>
    </row>
    <row r="527" spans="1:22" ht="19.5" customHeight="1">
      <c r="A527" s="54"/>
      <c r="B527" s="55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56"/>
      <c r="U527" s="56"/>
      <c r="V527" s="56"/>
    </row>
    <row r="528" spans="1:22" ht="19.5" customHeight="1">
      <c r="A528" s="54"/>
      <c r="B528" s="55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56"/>
      <c r="U528" s="56"/>
      <c r="V528" s="56"/>
    </row>
    <row r="529" spans="1:22" ht="19.5" customHeight="1">
      <c r="A529" s="54"/>
      <c r="B529" s="55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56"/>
      <c r="U529" s="56"/>
      <c r="V529" s="56"/>
    </row>
    <row r="530" spans="1:22" ht="19.5" customHeight="1">
      <c r="A530" s="54"/>
      <c r="B530" s="55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56"/>
      <c r="U530" s="56"/>
      <c r="V530" s="56"/>
    </row>
    <row r="531" spans="1:22" ht="19.5" customHeight="1">
      <c r="A531" s="54"/>
      <c r="B531" s="55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56"/>
      <c r="U531" s="56"/>
      <c r="V531" s="56"/>
    </row>
    <row r="532" spans="1:22" ht="19.5" customHeight="1">
      <c r="A532" s="54"/>
      <c r="B532" s="55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56"/>
      <c r="U532" s="56"/>
      <c r="V532" s="56"/>
    </row>
    <row r="533" spans="1:22" ht="19.5" customHeight="1">
      <c r="A533" s="54"/>
      <c r="B533" s="55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56"/>
      <c r="U533" s="56"/>
      <c r="V533" s="56"/>
    </row>
    <row r="534" spans="1:22" ht="19.5" customHeight="1">
      <c r="A534" s="54"/>
      <c r="B534" s="55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56"/>
      <c r="U534" s="56"/>
      <c r="V534" s="56"/>
    </row>
    <row r="535" spans="1:22" ht="19.5" customHeight="1">
      <c r="A535" s="54"/>
      <c r="B535" s="55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56"/>
      <c r="U535" s="56"/>
      <c r="V535" s="56"/>
    </row>
    <row r="536" spans="1:22" ht="19.5" customHeight="1">
      <c r="A536" s="54"/>
      <c r="B536" s="55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56"/>
      <c r="U536" s="56"/>
      <c r="V536" s="56"/>
    </row>
    <row r="537" spans="1:22" ht="19.5" customHeight="1">
      <c r="A537" s="54"/>
      <c r="B537" s="55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56"/>
      <c r="U537" s="56"/>
      <c r="V537" s="56"/>
    </row>
    <row r="538" spans="1:22" ht="19.5" customHeight="1">
      <c r="A538" s="54"/>
      <c r="B538" s="55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56"/>
      <c r="U538" s="56"/>
      <c r="V538" s="56"/>
    </row>
    <row r="539" spans="1:22" ht="19.5" customHeight="1">
      <c r="A539" s="54"/>
      <c r="B539" s="55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56"/>
      <c r="U539" s="56"/>
      <c r="V539" s="56"/>
    </row>
    <row r="540" spans="1:22" ht="19.5" customHeight="1">
      <c r="A540" s="54"/>
      <c r="B540" s="55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56"/>
      <c r="U540" s="56"/>
      <c r="V540" s="56"/>
    </row>
    <row r="541" spans="1:22" ht="19.5" customHeight="1">
      <c r="A541" s="54"/>
      <c r="B541" s="55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56"/>
      <c r="U541" s="56"/>
      <c r="V541" s="56"/>
    </row>
    <row r="542" spans="1:22" ht="19.5" customHeight="1">
      <c r="A542" s="54"/>
      <c r="B542" s="55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56"/>
      <c r="U542" s="56"/>
      <c r="V542" s="56"/>
    </row>
    <row r="543" spans="1:22" ht="19.5" customHeight="1">
      <c r="A543" s="54"/>
      <c r="B543" s="55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56"/>
      <c r="U543" s="56"/>
      <c r="V543" s="56"/>
    </row>
    <row r="544" spans="1:22" ht="19.5" customHeight="1">
      <c r="A544" s="54"/>
      <c r="B544" s="55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56"/>
      <c r="U544" s="56"/>
      <c r="V544" s="56"/>
    </row>
    <row r="545" spans="1:22" ht="19.5" customHeight="1">
      <c r="A545" s="54"/>
      <c r="B545" s="55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56"/>
      <c r="U545" s="56"/>
      <c r="V545" s="56"/>
    </row>
    <row r="546" spans="1:22" ht="19.5" customHeight="1">
      <c r="A546" s="54"/>
      <c r="B546" s="55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56"/>
      <c r="U546" s="56"/>
      <c r="V546" s="56"/>
    </row>
    <row r="547" spans="1:22" ht="19.5" customHeight="1">
      <c r="A547" s="54"/>
      <c r="B547" s="55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56"/>
      <c r="U547" s="56"/>
      <c r="V547" s="56"/>
    </row>
    <row r="548" spans="1:22" ht="19.5" customHeight="1">
      <c r="A548" s="54"/>
      <c r="B548" s="55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56"/>
      <c r="U548" s="56"/>
      <c r="V548" s="56"/>
    </row>
    <row r="549" spans="1:22" ht="19.5" customHeight="1">
      <c r="A549" s="54"/>
      <c r="B549" s="55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56"/>
      <c r="U549" s="56"/>
      <c r="V549" s="56"/>
    </row>
    <row r="550" spans="1:22" ht="19.5" customHeight="1">
      <c r="A550" s="54"/>
      <c r="B550" s="55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56"/>
      <c r="U550" s="56"/>
      <c r="V550" s="56"/>
    </row>
    <row r="551" spans="1:22" ht="19.5" customHeight="1">
      <c r="A551" s="54"/>
      <c r="B551" s="55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56"/>
      <c r="U551" s="56"/>
      <c r="V551" s="56"/>
    </row>
    <row r="552" spans="1:22" ht="19.5" customHeight="1">
      <c r="A552" s="54"/>
      <c r="B552" s="55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56"/>
      <c r="U552" s="56"/>
      <c r="V552" s="56"/>
    </row>
    <row r="553" spans="1:22" ht="19.5" customHeight="1">
      <c r="A553" s="54"/>
      <c r="B553" s="55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56"/>
      <c r="U553" s="56"/>
      <c r="V553" s="56"/>
    </row>
    <row r="554" spans="1:22" ht="19.5" customHeight="1">
      <c r="A554" s="54"/>
      <c r="B554" s="55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56"/>
      <c r="U554" s="56"/>
      <c r="V554" s="56"/>
    </row>
    <row r="555" spans="1:22" ht="19.5" customHeight="1">
      <c r="A555" s="54"/>
      <c r="B555" s="55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56"/>
      <c r="U555" s="56"/>
      <c r="V555" s="56"/>
    </row>
    <row r="556" spans="1:22" ht="19.5" customHeight="1">
      <c r="A556" s="54"/>
      <c r="B556" s="55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56"/>
      <c r="U556" s="56"/>
      <c r="V556" s="56"/>
    </row>
    <row r="557" spans="1:22" ht="19.5" customHeight="1">
      <c r="A557" s="54"/>
      <c r="B557" s="55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56"/>
      <c r="U557" s="56"/>
      <c r="V557" s="56"/>
    </row>
    <row r="558" spans="1:22" ht="19.5" customHeight="1">
      <c r="A558" s="54"/>
      <c r="B558" s="55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56"/>
      <c r="U558" s="56"/>
      <c r="V558" s="56"/>
    </row>
    <row r="559" spans="1:22" ht="19.5" customHeight="1">
      <c r="A559" s="54"/>
      <c r="B559" s="55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56"/>
      <c r="U559" s="56"/>
      <c r="V559" s="56"/>
    </row>
    <row r="560" spans="1:22" ht="19.5" customHeight="1">
      <c r="A560" s="54"/>
      <c r="B560" s="55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56"/>
      <c r="U560" s="56"/>
      <c r="V560" s="56"/>
    </row>
    <row r="561" spans="1:22" ht="19.5" customHeight="1">
      <c r="A561" s="54"/>
      <c r="B561" s="55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56"/>
      <c r="U561" s="56"/>
      <c r="V561" s="56"/>
    </row>
    <row r="562" spans="1:22" ht="19.5" customHeight="1">
      <c r="A562" s="54"/>
      <c r="B562" s="55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56"/>
      <c r="U562" s="56"/>
      <c r="V562" s="56"/>
    </row>
    <row r="563" spans="1:22" ht="19.5" customHeight="1">
      <c r="A563" s="54"/>
      <c r="B563" s="55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56"/>
      <c r="U563" s="56"/>
      <c r="V563" s="56"/>
    </row>
    <row r="564" spans="1:22" ht="19.5" customHeight="1">
      <c r="A564" s="54"/>
      <c r="B564" s="55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56"/>
      <c r="U564" s="56"/>
      <c r="V564" s="56"/>
    </row>
    <row r="565" spans="1:22" ht="19.5" customHeight="1">
      <c r="A565" s="54"/>
      <c r="B565" s="55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56"/>
      <c r="U565" s="56"/>
      <c r="V565" s="56"/>
    </row>
    <row r="566" spans="1:22" ht="19.5" customHeight="1">
      <c r="A566" s="54"/>
      <c r="B566" s="55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56"/>
      <c r="U566" s="56"/>
      <c r="V566" s="56"/>
    </row>
    <row r="567" spans="1:22" ht="19.5" customHeight="1">
      <c r="A567" s="54"/>
      <c r="B567" s="55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56"/>
      <c r="U567" s="56"/>
      <c r="V567" s="56"/>
    </row>
    <row r="568" spans="1:22" ht="19.5" customHeight="1">
      <c r="A568" s="54"/>
      <c r="B568" s="55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56"/>
      <c r="U568" s="56"/>
      <c r="V568" s="56"/>
    </row>
    <row r="569" spans="1:22" ht="19.5" customHeight="1">
      <c r="A569" s="54"/>
      <c r="B569" s="55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56"/>
      <c r="U569" s="56"/>
      <c r="V569" s="56"/>
    </row>
    <row r="570" spans="1:22" ht="19.5" customHeight="1">
      <c r="A570" s="54"/>
      <c r="B570" s="55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56"/>
      <c r="U570" s="56"/>
      <c r="V570" s="56"/>
    </row>
    <row r="571" spans="1:22" ht="19.5" customHeight="1">
      <c r="A571" s="54"/>
      <c r="B571" s="55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56"/>
      <c r="U571" s="56"/>
      <c r="V571" s="56"/>
    </row>
    <row r="572" spans="1:22" ht="19.5" customHeight="1">
      <c r="A572" s="54"/>
      <c r="B572" s="55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56"/>
      <c r="U572" s="56"/>
      <c r="V572" s="56"/>
    </row>
    <row r="573" spans="1:22" ht="19.5" customHeight="1">
      <c r="A573" s="54"/>
      <c r="B573" s="55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56"/>
      <c r="U573" s="56"/>
      <c r="V573" s="56"/>
    </row>
    <row r="574" spans="1:22" ht="19.5" customHeight="1">
      <c r="A574" s="54"/>
      <c r="B574" s="55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56"/>
      <c r="U574" s="56"/>
      <c r="V574" s="56"/>
    </row>
    <row r="575" spans="1:22" ht="19.5" customHeight="1">
      <c r="A575" s="54"/>
      <c r="B575" s="55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56"/>
      <c r="U575" s="56"/>
      <c r="V575" s="56"/>
    </row>
    <row r="576" spans="1:22" ht="19.5" customHeight="1">
      <c r="A576" s="54"/>
      <c r="B576" s="55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56"/>
      <c r="U576" s="56"/>
      <c r="V576" s="56"/>
    </row>
    <row r="577" spans="1:22" ht="19.5" customHeight="1">
      <c r="A577" s="54"/>
      <c r="B577" s="55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56"/>
      <c r="U577" s="56"/>
      <c r="V577" s="56"/>
    </row>
    <row r="578" spans="1:22" ht="19.5" customHeight="1">
      <c r="A578" s="54"/>
      <c r="B578" s="55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56"/>
      <c r="U578" s="56"/>
      <c r="V578" s="56"/>
    </row>
    <row r="579" spans="1:22" ht="19.5" customHeight="1">
      <c r="A579" s="54"/>
      <c r="B579" s="55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56"/>
      <c r="U579" s="56"/>
      <c r="V579" s="56"/>
    </row>
    <row r="580" spans="1:22" ht="19.5" customHeight="1">
      <c r="A580" s="54"/>
      <c r="B580" s="55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56"/>
      <c r="U580" s="56"/>
      <c r="V580" s="56"/>
    </row>
    <row r="581" spans="1:22" ht="19.5" customHeight="1">
      <c r="A581" s="54"/>
      <c r="B581" s="55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56"/>
      <c r="U581" s="56"/>
      <c r="V581" s="56"/>
    </row>
    <row r="582" spans="1:22" ht="19.5" customHeight="1">
      <c r="A582" s="54"/>
      <c r="B582" s="55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56"/>
      <c r="U582" s="56"/>
      <c r="V582" s="56"/>
    </row>
    <row r="583" spans="1:22" ht="19.5" customHeight="1">
      <c r="A583" s="54"/>
      <c r="B583" s="55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56"/>
      <c r="U583" s="56"/>
      <c r="V583" s="56"/>
    </row>
    <row r="584" spans="1:22" ht="19.5" customHeight="1">
      <c r="A584" s="54"/>
      <c r="B584" s="55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56"/>
      <c r="U584" s="56"/>
      <c r="V584" s="56"/>
    </row>
    <row r="585" spans="1:22" ht="19.5" customHeight="1">
      <c r="A585" s="54"/>
      <c r="B585" s="55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56"/>
      <c r="U585" s="56"/>
      <c r="V585" s="56"/>
    </row>
    <row r="586" spans="1:22" ht="19.5" customHeight="1">
      <c r="A586" s="54"/>
      <c r="B586" s="55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56"/>
      <c r="U586" s="56"/>
      <c r="V586" s="56"/>
    </row>
    <row r="587" spans="1:22" ht="19.5" customHeight="1">
      <c r="A587" s="54"/>
      <c r="B587" s="55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56"/>
      <c r="U587" s="56"/>
      <c r="V587" s="56"/>
    </row>
    <row r="588" spans="1:22" ht="19.5" customHeight="1">
      <c r="A588" s="54"/>
      <c r="B588" s="55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56"/>
      <c r="U588" s="56"/>
      <c r="V588" s="56"/>
    </row>
    <row r="589" spans="1:22" ht="19.5" customHeight="1">
      <c r="A589" s="54"/>
      <c r="B589" s="55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56"/>
      <c r="U589" s="56"/>
      <c r="V589" s="56"/>
    </row>
    <row r="590" spans="1:22" ht="19.5" customHeight="1">
      <c r="A590" s="54"/>
      <c r="B590" s="55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56"/>
      <c r="U590" s="56"/>
      <c r="V590" s="56"/>
    </row>
    <row r="591" spans="1:22" ht="19.5" customHeight="1">
      <c r="A591" s="54"/>
      <c r="B591" s="55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56"/>
      <c r="U591" s="56"/>
      <c r="V591" s="56"/>
    </row>
    <row r="592" spans="1:22" ht="19.5" customHeight="1">
      <c r="A592" s="54"/>
      <c r="B592" s="55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56"/>
      <c r="U592" s="56"/>
      <c r="V592" s="56"/>
    </row>
    <row r="593" spans="1:22" ht="19.5" customHeight="1">
      <c r="A593" s="54"/>
      <c r="B593" s="55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56"/>
      <c r="U593" s="56"/>
      <c r="V593" s="56"/>
    </row>
    <row r="594" spans="1:22" ht="19.5" customHeight="1">
      <c r="A594" s="54"/>
      <c r="B594" s="55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56"/>
      <c r="U594" s="56"/>
      <c r="V594" s="56"/>
    </row>
    <row r="595" spans="1:22" ht="19.5" customHeight="1">
      <c r="A595" s="54"/>
      <c r="B595" s="55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56"/>
      <c r="U595" s="56"/>
      <c r="V595" s="56"/>
    </row>
    <row r="596" spans="1:22" ht="19.5" customHeight="1">
      <c r="A596" s="54"/>
      <c r="B596" s="55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56"/>
      <c r="U596" s="56"/>
      <c r="V596" s="56"/>
    </row>
    <row r="597" spans="1:22" ht="19.5" customHeight="1">
      <c r="A597" s="54"/>
      <c r="B597" s="55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56"/>
      <c r="U597" s="56"/>
      <c r="V597" s="56"/>
    </row>
    <row r="598" spans="1:22" ht="19.5" customHeight="1">
      <c r="A598" s="54"/>
      <c r="B598" s="55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56"/>
      <c r="U598" s="56"/>
      <c r="V598" s="56"/>
    </row>
    <row r="599" spans="1:22" ht="19.5" customHeight="1">
      <c r="A599" s="54"/>
      <c r="B599" s="55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56"/>
      <c r="U599" s="56"/>
      <c r="V599" s="56"/>
    </row>
    <row r="600" spans="1:22" ht="19.5" customHeight="1">
      <c r="A600" s="54"/>
      <c r="B600" s="55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56"/>
      <c r="U600" s="56"/>
      <c r="V600" s="56"/>
    </row>
    <row r="601" spans="1:22" ht="19.5" customHeight="1">
      <c r="A601" s="54"/>
      <c r="B601" s="55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56"/>
      <c r="U601" s="56"/>
      <c r="V601" s="56"/>
    </row>
    <row r="602" spans="1:22" ht="19.5" customHeight="1">
      <c r="A602" s="54"/>
      <c r="B602" s="55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56"/>
      <c r="U602" s="56"/>
      <c r="V602" s="56"/>
    </row>
    <row r="603" spans="1:22" ht="19.5" customHeight="1">
      <c r="A603" s="54"/>
      <c r="B603" s="55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56"/>
      <c r="U603" s="56"/>
      <c r="V603" s="56"/>
    </row>
    <row r="604" spans="1:22" ht="19.5" customHeight="1">
      <c r="A604" s="54"/>
      <c r="B604" s="55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56"/>
      <c r="U604" s="56"/>
      <c r="V604" s="56"/>
    </row>
    <row r="605" spans="1:22" ht="19.5" customHeight="1">
      <c r="A605" s="54"/>
      <c r="B605" s="55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56"/>
      <c r="U605" s="56"/>
      <c r="V605" s="56"/>
    </row>
    <row r="606" spans="1:22" ht="19.5" customHeight="1">
      <c r="A606" s="54"/>
      <c r="B606" s="55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56"/>
      <c r="U606" s="56"/>
      <c r="V606" s="56"/>
    </row>
    <row r="607" spans="1:22" ht="19.5" customHeight="1">
      <c r="A607" s="54"/>
      <c r="B607" s="55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56"/>
      <c r="U607" s="56"/>
      <c r="V607" s="56"/>
    </row>
    <row r="608" spans="1:22" ht="19.5" customHeight="1">
      <c r="A608" s="54"/>
      <c r="B608" s="55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56"/>
      <c r="U608" s="56"/>
      <c r="V608" s="56"/>
    </row>
    <row r="609" spans="1:22" ht="19.5" customHeight="1">
      <c r="A609" s="54"/>
      <c r="B609" s="55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56"/>
      <c r="U609" s="56"/>
      <c r="V609" s="56"/>
    </row>
    <row r="610" spans="1:22" ht="19.5" customHeight="1">
      <c r="A610" s="54"/>
      <c r="B610" s="55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56"/>
      <c r="U610" s="56"/>
      <c r="V610" s="56"/>
    </row>
    <row r="611" spans="1:22" ht="19.5" customHeight="1">
      <c r="A611" s="54"/>
      <c r="B611" s="55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56"/>
      <c r="U611" s="56"/>
      <c r="V611" s="56"/>
    </row>
    <row r="612" spans="1:22" ht="19.5" customHeight="1">
      <c r="A612" s="54"/>
      <c r="B612" s="55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56"/>
      <c r="U612" s="56"/>
      <c r="V612" s="56"/>
    </row>
    <row r="613" spans="1:22" ht="19.5" customHeight="1">
      <c r="A613" s="54"/>
      <c r="B613" s="55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56"/>
      <c r="U613" s="56"/>
      <c r="V613" s="56"/>
    </row>
    <row r="614" spans="1:22" ht="19.5" customHeight="1">
      <c r="A614" s="54"/>
      <c r="B614" s="55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56"/>
      <c r="U614" s="56"/>
      <c r="V614" s="56"/>
    </row>
    <row r="615" spans="1:22" ht="19.5" customHeight="1">
      <c r="A615" s="54"/>
      <c r="B615" s="55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56"/>
      <c r="U615" s="56"/>
      <c r="V615" s="56"/>
    </row>
    <row r="616" spans="1:22" ht="19.5" customHeight="1">
      <c r="A616" s="54"/>
      <c r="B616" s="55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56"/>
      <c r="U616" s="56"/>
      <c r="V616" s="56"/>
    </row>
    <row r="617" spans="1:22" ht="19.5" customHeight="1">
      <c r="A617" s="54"/>
      <c r="B617" s="55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56"/>
      <c r="U617" s="56"/>
      <c r="V617" s="56"/>
    </row>
    <row r="618" spans="1:22" ht="19.5" customHeight="1">
      <c r="A618" s="54"/>
      <c r="B618" s="55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56"/>
      <c r="U618" s="56"/>
      <c r="V618" s="56"/>
    </row>
    <row r="619" spans="1:22" ht="19.5" customHeight="1">
      <c r="A619" s="54"/>
      <c r="B619" s="55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56"/>
      <c r="U619" s="56"/>
      <c r="V619" s="56"/>
    </row>
    <row r="620" spans="1:22" ht="19.5" customHeight="1">
      <c r="A620" s="54"/>
      <c r="B620" s="55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56"/>
      <c r="U620" s="56"/>
      <c r="V620" s="56"/>
    </row>
    <row r="621" spans="1:22" ht="19.5" customHeight="1">
      <c r="A621" s="54"/>
      <c r="B621" s="55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56"/>
      <c r="U621" s="56"/>
      <c r="V621" s="56"/>
    </row>
    <row r="622" spans="1:22" ht="19.5" customHeight="1">
      <c r="A622" s="54"/>
      <c r="B622" s="55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56"/>
      <c r="U622" s="56"/>
      <c r="V622" s="56"/>
    </row>
    <row r="623" spans="1:22" ht="19.5" customHeight="1">
      <c r="A623" s="54"/>
      <c r="B623" s="55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56"/>
      <c r="U623" s="56"/>
      <c r="V623" s="56"/>
    </row>
    <row r="624" spans="1:22" ht="19.5" customHeight="1">
      <c r="A624" s="54"/>
      <c r="B624" s="55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56"/>
      <c r="U624" s="56"/>
      <c r="V624" s="56"/>
    </row>
    <row r="625" spans="1:22" ht="19.5" customHeight="1">
      <c r="A625" s="54"/>
      <c r="B625" s="55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56"/>
      <c r="U625" s="56"/>
      <c r="V625" s="56"/>
    </row>
    <row r="626" spans="1:22" ht="19.5" customHeight="1">
      <c r="A626" s="54"/>
      <c r="B626" s="55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56"/>
      <c r="U626" s="56"/>
      <c r="V626" s="56"/>
    </row>
    <row r="627" spans="1:22" ht="19.5" customHeight="1">
      <c r="A627" s="54"/>
      <c r="B627" s="55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56"/>
      <c r="U627" s="56"/>
      <c r="V627" s="56"/>
    </row>
    <row r="628" spans="1:22" ht="19.5" customHeight="1">
      <c r="A628" s="54"/>
      <c r="B628" s="55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56"/>
      <c r="U628" s="56"/>
      <c r="V628" s="56"/>
    </row>
    <row r="629" spans="1:22" ht="19.5" customHeight="1">
      <c r="A629" s="54"/>
      <c r="B629" s="55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56"/>
      <c r="U629" s="56"/>
      <c r="V629" s="56"/>
    </row>
    <row r="630" spans="1:22" ht="19.5" customHeight="1">
      <c r="A630" s="54"/>
      <c r="B630" s="55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56"/>
      <c r="U630" s="56"/>
      <c r="V630" s="56"/>
    </row>
    <row r="631" spans="1:22" ht="19.5" customHeight="1">
      <c r="A631" s="54"/>
      <c r="B631" s="55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56"/>
      <c r="U631" s="56"/>
      <c r="V631" s="56"/>
    </row>
    <row r="632" spans="1:22" ht="19.5" customHeight="1">
      <c r="A632" s="54"/>
      <c r="B632" s="55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56"/>
      <c r="U632" s="56"/>
      <c r="V632" s="56"/>
    </row>
    <row r="633" spans="1:22" ht="19.5" customHeight="1">
      <c r="A633" s="54"/>
      <c r="B633" s="55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56"/>
      <c r="U633" s="56"/>
      <c r="V633" s="56"/>
    </row>
    <row r="634" spans="1:22" ht="19.5" customHeight="1">
      <c r="A634" s="54"/>
      <c r="B634" s="55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56"/>
      <c r="U634" s="56"/>
      <c r="V634" s="56"/>
    </row>
    <row r="635" spans="1:22" ht="19.5" customHeight="1">
      <c r="A635" s="54"/>
      <c r="B635" s="55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56"/>
      <c r="U635" s="56"/>
      <c r="V635" s="56"/>
    </row>
    <row r="636" spans="1:22" ht="19.5" customHeight="1">
      <c r="A636" s="54"/>
      <c r="B636" s="55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56"/>
      <c r="U636" s="56"/>
      <c r="V636" s="56"/>
    </row>
    <row r="637" spans="1:22" ht="19.5" customHeight="1">
      <c r="A637" s="54"/>
      <c r="B637" s="55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56"/>
      <c r="U637" s="56"/>
      <c r="V637" s="56"/>
    </row>
    <row r="638" spans="1:22" ht="19.5" customHeight="1">
      <c r="A638" s="54"/>
      <c r="B638" s="55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56"/>
      <c r="U638" s="56"/>
      <c r="V638" s="56"/>
    </row>
    <row r="639" spans="1:22" ht="19.5" customHeight="1">
      <c r="A639" s="54"/>
      <c r="B639" s="55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56"/>
      <c r="U639" s="56"/>
      <c r="V639" s="56"/>
    </row>
    <row r="640" spans="1:22" ht="19.5" customHeight="1">
      <c r="A640" s="54"/>
      <c r="B640" s="55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56"/>
      <c r="U640" s="56"/>
      <c r="V640" s="56"/>
    </row>
    <row r="641" spans="1:22" ht="19.5" customHeight="1">
      <c r="A641" s="54"/>
      <c r="B641" s="55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56"/>
      <c r="U641" s="56"/>
      <c r="V641" s="56"/>
    </row>
    <row r="642" spans="1:22" ht="19.5" customHeight="1">
      <c r="A642" s="54"/>
      <c r="B642" s="55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56"/>
      <c r="U642" s="56"/>
      <c r="V642" s="56"/>
    </row>
    <row r="643" spans="1:22" ht="19.5" customHeight="1">
      <c r="A643" s="54"/>
      <c r="B643" s="55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56"/>
      <c r="U643" s="56"/>
      <c r="V643" s="56"/>
    </row>
    <row r="644" spans="1:22" ht="19.5" customHeight="1">
      <c r="A644" s="54"/>
      <c r="B644" s="55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56"/>
      <c r="U644" s="56"/>
      <c r="V644" s="56"/>
    </row>
    <row r="645" spans="1:22" ht="19.5" customHeight="1">
      <c r="A645" s="54"/>
      <c r="B645" s="55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56"/>
      <c r="U645" s="56"/>
      <c r="V645" s="56"/>
    </row>
    <row r="646" spans="1:22" ht="19.5" customHeight="1">
      <c r="A646" s="54"/>
      <c r="B646" s="55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56"/>
      <c r="U646" s="56"/>
      <c r="V646" s="56"/>
    </row>
    <row r="647" spans="1:22" ht="19.5" customHeight="1">
      <c r="A647" s="54"/>
      <c r="B647" s="55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56"/>
      <c r="U647" s="56"/>
      <c r="V647" s="56"/>
    </row>
    <row r="648" spans="1:22" ht="19.5" customHeight="1">
      <c r="A648" s="54"/>
      <c r="B648" s="55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56"/>
      <c r="U648" s="56"/>
      <c r="V648" s="56"/>
    </row>
    <row r="649" spans="1:22" ht="19.5" customHeight="1">
      <c r="A649" s="54"/>
      <c r="B649" s="55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56"/>
      <c r="U649" s="56"/>
      <c r="V649" s="56"/>
    </row>
    <row r="650" spans="1:22" ht="19.5" customHeight="1">
      <c r="A650" s="54"/>
      <c r="B650" s="55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56"/>
      <c r="U650" s="56"/>
      <c r="V650" s="56"/>
    </row>
    <row r="651" spans="1:22" ht="19.5" customHeight="1">
      <c r="A651" s="54"/>
      <c r="B651" s="55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56"/>
      <c r="U651" s="56"/>
      <c r="V651" s="56"/>
    </row>
    <row r="652" spans="1:22" ht="19.5" customHeight="1">
      <c r="A652" s="54"/>
      <c r="B652" s="55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56"/>
      <c r="U652" s="56"/>
      <c r="V652" s="56"/>
    </row>
    <row r="653" spans="1:22" ht="19.5" customHeight="1">
      <c r="A653" s="54"/>
      <c r="B653" s="55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56"/>
      <c r="U653" s="56"/>
      <c r="V653" s="56"/>
    </row>
    <row r="654" spans="1:22" ht="19.5" customHeight="1">
      <c r="A654" s="54"/>
      <c r="B654" s="55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56"/>
      <c r="U654" s="56"/>
      <c r="V654" s="56"/>
    </row>
    <row r="655" spans="1:22" ht="19.5" customHeight="1">
      <c r="A655" s="54"/>
      <c r="B655" s="55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56"/>
      <c r="U655" s="56"/>
      <c r="V655" s="56"/>
    </row>
    <row r="656" spans="1:22" ht="19.5" customHeight="1">
      <c r="A656" s="54"/>
      <c r="B656" s="55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56"/>
      <c r="U656" s="56"/>
      <c r="V656" s="56"/>
    </row>
    <row r="657" spans="1:22" ht="19.5" customHeight="1">
      <c r="A657" s="54"/>
      <c r="B657" s="55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56"/>
      <c r="U657" s="56"/>
      <c r="V657" s="56"/>
    </row>
    <row r="658" spans="1:22" ht="19.5" customHeight="1">
      <c r="A658" s="54"/>
      <c r="B658" s="55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56"/>
      <c r="U658" s="56"/>
      <c r="V658" s="56"/>
    </row>
    <row r="659" spans="1:22" ht="19.5" customHeight="1">
      <c r="A659" s="54"/>
      <c r="B659" s="55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56"/>
      <c r="U659" s="56"/>
      <c r="V659" s="56"/>
    </row>
    <row r="660" spans="1:22" ht="19.5" customHeight="1">
      <c r="A660" s="54"/>
      <c r="B660" s="55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56"/>
      <c r="U660" s="56"/>
      <c r="V660" s="56"/>
    </row>
    <row r="661" spans="1:22" ht="19.5" customHeight="1">
      <c r="A661" s="54"/>
      <c r="B661" s="55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56"/>
      <c r="U661" s="56"/>
      <c r="V661" s="56"/>
    </row>
    <row r="662" spans="1:22" ht="19.5" customHeight="1">
      <c r="A662" s="54"/>
      <c r="B662" s="55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56"/>
      <c r="U662" s="56"/>
      <c r="V662" s="56"/>
    </row>
    <row r="663" spans="1:22" ht="19.5" customHeight="1">
      <c r="A663" s="54"/>
      <c r="B663" s="55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56"/>
      <c r="U663" s="56"/>
      <c r="V663" s="56"/>
    </row>
    <row r="664" spans="1:22" ht="19.5" customHeight="1">
      <c r="A664" s="54"/>
      <c r="B664" s="55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56"/>
      <c r="U664" s="56"/>
      <c r="V664" s="56"/>
    </row>
    <row r="665" spans="1:22" ht="19.5" customHeight="1">
      <c r="A665" s="54"/>
      <c r="B665" s="55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56"/>
      <c r="U665" s="56"/>
      <c r="V665" s="56"/>
    </row>
    <row r="666" spans="1:22" ht="19.5" customHeight="1">
      <c r="A666" s="54"/>
      <c r="B666" s="55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56"/>
      <c r="U666" s="56"/>
      <c r="V666" s="56"/>
    </row>
    <row r="667" spans="1:22" ht="19.5" customHeight="1">
      <c r="A667" s="54"/>
      <c r="B667" s="55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56"/>
      <c r="U667" s="56"/>
      <c r="V667" s="56"/>
    </row>
    <row r="668" spans="1:22" ht="19.5" customHeight="1">
      <c r="A668" s="54"/>
      <c r="B668" s="55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56"/>
      <c r="U668" s="56"/>
      <c r="V668" s="56"/>
    </row>
    <row r="669" spans="1:22" ht="19.5" customHeight="1">
      <c r="A669" s="54"/>
      <c r="B669" s="55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56"/>
      <c r="U669" s="56"/>
      <c r="V669" s="56"/>
    </row>
    <row r="670" spans="1:22" ht="19.5" customHeight="1">
      <c r="A670" s="54"/>
      <c r="B670" s="55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56"/>
      <c r="U670" s="56"/>
      <c r="V670" s="56"/>
    </row>
    <row r="671" spans="1:22" ht="19.5" customHeight="1">
      <c r="A671" s="54"/>
      <c r="B671" s="55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56"/>
      <c r="U671" s="56"/>
      <c r="V671" s="56"/>
    </row>
    <row r="672" spans="1:22" ht="19.5" customHeight="1">
      <c r="A672" s="54"/>
      <c r="B672" s="55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56"/>
      <c r="U672" s="56"/>
      <c r="V672" s="56"/>
    </row>
    <row r="673" spans="1:22" ht="19.5" customHeight="1">
      <c r="A673" s="54"/>
      <c r="B673" s="55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56"/>
      <c r="U673" s="56"/>
      <c r="V673" s="56"/>
    </row>
    <row r="674" spans="1:22" ht="19.5" customHeight="1">
      <c r="A674" s="54"/>
      <c r="B674" s="55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56"/>
      <c r="U674" s="56"/>
      <c r="V674" s="56"/>
    </row>
    <row r="675" spans="1:22" ht="19.5" customHeight="1">
      <c r="A675" s="54"/>
      <c r="B675" s="55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56"/>
      <c r="U675" s="56"/>
      <c r="V675" s="56"/>
    </row>
    <row r="676" spans="1:22" ht="19.5" customHeight="1">
      <c r="A676" s="54"/>
      <c r="B676" s="55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56"/>
      <c r="U676" s="56"/>
      <c r="V676" s="56"/>
    </row>
    <row r="677" spans="1:22" ht="19.5" customHeight="1">
      <c r="A677" s="54"/>
      <c r="B677" s="55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56"/>
      <c r="U677" s="56"/>
      <c r="V677" s="56"/>
    </row>
    <row r="678" spans="1:22" ht="19.5" customHeight="1">
      <c r="A678" s="54"/>
      <c r="B678" s="55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56"/>
      <c r="U678" s="56"/>
      <c r="V678" s="56"/>
    </row>
    <row r="679" spans="1:22" ht="19.5" customHeight="1">
      <c r="A679" s="54"/>
      <c r="B679" s="55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56"/>
      <c r="U679" s="56"/>
      <c r="V679" s="56"/>
    </row>
    <row r="680" spans="1:22" ht="19.5" customHeight="1">
      <c r="A680" s="54"/>
      <c r="B680" s="55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56"/>
      <c r="U680" s="56"/>
      <c r="V680" s="56"/>
    </row>
    <row r="681" spans="1:22" ht="19.5" customHeight="1">
      <c r="A681" s="54"/>
      <c r="B681" s="55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56"/>
      <c r="U681" s="56"/>
      <c r="V681" s="56"/>
    </row>
    <row r="682" spans="1:22" ht="19.5" customHeight="1">
      <c r="A682" s="54"/>
      <c r="B682" s="55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56"/>
      <c r="U682" s="56"/>
      <c r="V682" s="56"/>
    </row>
    <row r="683" spans="1:22" ht="19.5" customHeight="1">
      <c r="A683" s="54"/>
      <c r="B683" s="55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56"/>
      <c r="U683" s="56"/>
      <c r="V683" s="56"/>
    </row>
    <row r="684" spans="1:22" ht="19.5" customHeight="1">
      <c r="A684" s="54"/>
      <c r="B684" s="55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56"/>
      <c r="U684" s="56"/>
      <c r="V684" s="56"/>
    </row>
    <row r="685" spans="1:22" ht="19.5" customHeight="1">
      <c r="A685" s="54"/>
      <c r="B685" s="55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56"/>
      <c r="U685" s="56"/>
      <c r="V685" s="56"/>
    </row>
    <row r="686" spans="1:22" ht="19.5" customHeight="1">
      <c r="A686" s="54"/>
      <c r="B686" s="55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56"/>
      <c r="U686" s="56"/>
      <c r="V686" s="56"/>
    </row>
    <row r="687" spans="1:22" ht="19.5" customHeight="1">
      <c r="A687" s="54"/>
      <c r="B687" s="55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56"/>
      <c r="U687" s="56"/>
      <c r="V687" s="56"/>
    </row>
    <row r="688" spans="1:22" ht="19.5" customHeight="1">
      <c r="A688" s="54"/>
      <c r="B688" s="55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56"/>
      <c r="U688" s="56"/>
      <c r="V688" s="56"/>
    </row>
    <row r="689" spans="1:22" ht="19.5" customHeight="1">
      <c r="A689" s="54"/>
      <c r="B689" s="55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56"/>
      <c r="U689" s="56"/>
      <c r="V689" s="56"/>
    </row>
    <row r="690" spans="1:22" ht="19.5" customHeight="1">
      <c r="A690" s="54"/>
      <c r="B690" s="55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56"/>
      <c r="U690" s="56"/>
      <c r="V690" s="56"/>
    </row>
    <row r="691" spans="1:22" ht="19.5" customHeight="1">
      <c r="A691" s="54"/>
      <c r="B691" s="55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56"/>
      <c r="U691" s="56"/>
      <c r="V691" s="56"/>
    </row>
    <row r="692" spans="1:22" ht="19.5" customHeight="1">
      <c r="A692" s="54"/>
      <c r="B692" s="55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56"/>
      <c r="U692" s="56"/>
      <c r="V692" s="56"/>
    </row>
    <row r="693" spans="1:22" ht="19.5" customHeight="1">
      <c r="A693" s="54"/>
      <c r="B693" s="55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56"/>
      <c r="U693" s="56"/>
      <c r="V693" s="56"/>
    </row>
    <row r="694" spans="1:22" ht="19.5" customHeight="1">
      <c r="A694" s="54"/>
      <c r="B694" s="55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56"/>
      <c r="U694" s="56"/>
      <c r="V694" s="56"/>
    </row>
    <row r="695" spans="1:22" ht="19.5" customHeight="1">
      <c r="A695" s="54"/>
      <c r="B695" s="55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56"/>
      <c r="U695" s="56"/>
      <c r="V695" s="56"/>
    </row>
    <row r="696" spans="1:22" ht="19.5" customHeight="1">
      <c r="A696" s="54"/>
      <c r="B696" s="55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56"/>
      <c r="U696" s="56"/>
      <c r="V696" s="56"/>
    </row>
    <row r="697" spans="1:22" ht="19.5" customHeight="1">
      <c r="A697" s="54"/>
      <c r="B697" s="55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56"/>
      <c r="U697" s="56"/>
      <c r="V697" s="56"/>
    </row>
    <row r="698" spans="1:22" ht="19.5" customHeight="1">
      <c r="A698" s="54"/>
      <c r="B698" s="55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56"/>
      <c r="U698" s="56"/>
      <c r="V698" s="56"/>
    </row>
    <row r="699" spans="1:22" ht="19.5" customHeight="1">
      <c r="A699" s="54"/>
      <c r="B699" s="55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56"/>
      <c r="U699" s="56"/>
      <c r="V699" s="56"/>
    </row>
    <row r="700" spans="1:22" ht="19.5" customHeight="1">
      <c r="A700" s="54"/>
      <c r="B700" s="55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56"/>
      <c r="U700" s="56"/>
      <c r="V700" s="56"/>
    </row>
    <row r="701" spans="1:22" ht="19.5" customHeight="1">
      <c r="A701" s="54"/>
      <c r="B701" s="55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56"/>
      <c r="U701" s="56"/>
      <c r="V701" s="56"/>
    </row>
    <row r="702" spans="1:22" ht="19.5" customHeight="1">
      <c r="A702" s="54"/>
      <c r="B702" s="55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56"/>
      <c r="U702" s="56"/>
      <c r="V702" s="56"/>
    </row>
    <row r="703" spans="1:22" ht="19.5" customHeight="1">
      <c r="A703" s="54"/>
      <c r="B703" s="55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56"/>
      <c r="U703" s="56"/>
      <c r="V703" s="56"/>
    </row>
    <row r="704" spans="1:22" ht="19.5" customHeight="1">
      <c r="A704" s="54"/>
      <c r="B704" s="55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56"/>
      <c r="U704" s="56"/>
      <c r="V704" s="56"/>
    </row>
    <row r="705" spans="1:22" ht="19.5" customHeight="1">
      <c r="A705" s="54"/>
      <c r="B705" s="55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56"/>
      <c r="U705" s="56"/>
      <c r="V705" s="56"/>
    </row>
    <row r="706" spans="1:22" ht="19.5" customHeight="1">
      <c r="A706" s="54"/>
      <c r="B706" s="55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56"/>
      <c r="U706" s="56"/>
      <c r="V706" s="56"/>
    </row>
    <row r="707" spans="1:22" ht="19.5" customHeight="1">
      <c r="A707" s="54"/>
      <c r="B707" s="55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56"/>
      <c r="U707" s="56"/>
      <c r="V707" s="56"/>
    </row>
    <row r="708" spans="1:22" ht="19.5" customHeight="1">
      <c r="A708" s="54"/>
      <c r="B708" s="55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56"/>
      <c r="U708" s="56"/>
      <c r="V708" s="56"/>
    </row>
    <row r="709" spans="1:22" ht="19.5" customHeight="1">
      <c r="A709" s="54"/>
      <c r="B709" s="55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56"/>
      <c r="U709" s="56"/>
      <c r="V709" s="56"/>
    </row>
    <row r="710" spans="1:22" ht="19.5" customHeight="1">
      <c r="A710" s="54"/>
      <c r="B710" s="55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56"/>
      <c r="U710" s="56"/>
      <c r="V710" s="56"/>
    </row>
    <row r="711" spans="1:22" ht="19.5" customHeight="1">
      <c r="A711" s="54"/>
      <c r="B711" s="55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56"/>
      <c r="U711" s="56"/>
      <c r="V711" s="56"/>
    </row>
    <row r="712" spans="1:22" ht="19.5" customHeight="1">
      <c r="A712" s="54"/>
      <c r="B712" s="55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56"/>
      <c r="U712" s="56"/>
      <c r="V712" s="56"/>
    </row>
    <row r="713" spans="1:22" ht="19.5" customHeight="1">
      <c r="A713" s="54"/>
      <c r="B713" s="55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56"/>
      <c r="U713" s="56"/>
      <c r="V713" s="56"/>
    </row>
    <row r="714" spans="1:22" ht="19.5" customHeight="1">
      <c r="A714" s="54"/>
      <c r="B714" s="55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56"/>
      <c r="U714" s="56"/>
      <c r="V714" s="56"/>
    </row>
    <row r="715" spans="1:22" ht="19.5" customHeight="1">
      <c r="A715" s="54"/>
      <c r="B715" s="55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56"/>
      <c r="U715" s="56"/>
      <c r="V715" s="56"/>
    </row>
    <row r="716" spans="1:22" ht="19.5" customHeight="1">
      <c r="A716" s="54"/>
      <c r="B716" s="55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56"/>
      <c r="U716" s="56"/>
      <c r="V716" s="56"/>
    </row>
    <row r="717" spans="1:22" ht="19.5" customHeight="1">
      <c r="A717" s="54"/>
      <c r="B717" s="55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56"/>
      <c r="U717" s="56"/>
      <c r="V717" s="56"/>
    </row>
    <row r="718" spans="1:22" ht="19.5" customHeight="1">
      <c r="A718" s="54"/>
      <c r="B718" s="55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56"/>
      <c r="U718" s="56"/>
      <c r="V718" s="56"/>
    </row>
    <row r="719" spans="1:22" ht="19.5" customHeight="1">
      <c r="A719" s="54"/>
      <c r="B719" s="55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56"/>
      <c r="U719" s="56"/>
      <c r="V719" s="56"/>
    </row>
    <row r="720" spans="1:22" ht="19.5" customHeight="1">
      <c r="A720" s="54"/>
      <c r="B720" s="55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56"/>
      <c r="U720" s="56"/>
      <c r="V720" s="56"/>
    </row>
    <row r="721" spans="1:22" ht="19.5" customHeight="1">
      <c r="A721" s="54"/>
      <c r="B721" s="55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56"/>
      <c r="U721" s="56"/>
      <c r="V721" s="56"/>
    </row>
    <row r="722" spans="1:22" ht="19.5" customHeight="1">
      <c r="A722" s="54"/>
      <c r="B722" s="55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56"/>
      <c r="U722" s="56"/>
      <c r="V722" s="56"/>
    </row>
    <row r="723" spans="1:22" ht="19.5" customHeight="1">
      <c r="A723" s="54"/>
      <c r="B723" s="55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56"/>
      <c r="U723" s="56"/>
      <c r="V723" s="56"/>
    </row>
    <row r="724" spans="1:22" ht="19.5" customHeight="1">
      <c r="A724" s="54"/>
      <c r="B724" s="55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56"/>
      <c r="U724" s="56"/>
      <c r="V724" s="56"/>
    </row>
    <row r="725" spans="1:22" ht="19.5" customHeight="1">
      <c r="A725" s="54"/>
      <c r="B725" s="55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56"/>
      <c r="U725" s="56"/>
      <c r="V725" s="56"/>
    </row>
    <row r="726" spans="1:22" ht="19.5" customHeight="1">
      <c r="A726" s="54"/>
      <c r="B726" s="55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56"/>
      <c r="U726" s="56"/>
      <c r="V726" s="56"/>
    </row>
    <row r="727" spans="1:22" ht="19.5" customHeight="1">
      <c r="A727" s="54"/>
      <c r="B727" s="55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56"/>
      <c r="U727" s="56"/>
      <c r="V727" s="56"/>
    </row>
    <row r="728" spans="1:22" ht="19.5" customHeight="1">
      <c r="A728" s="54"/>
      <c r="B728" s="55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56"/>
      <c r="U728" s="56"/>
      <c r="V728" s="56"/>
    </row>
    <row r="729" spans="1:22" ht="19.5" customHeight="1">
      <c r="A729" s="54"/>
      <c r="B729" s="55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56"/>
      <c r="U729" s="56"/>
      <c r="V729" s="56"/>
    </row>
    <row r="730" spans="1:22" ht="19.5" customHeight="1">
      <c r="A730" s="54"/>
      <c r="B730" s="55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56"/>
      <c r="U730" s="56"/>
      <c r="V730" s="56"/>
    </row>
    <row r="731" spans="1:22" ht="19.5" customHeight="1">
      <c r="A731" s="54"/>
      <c r="B731" s="55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56"/>
      <c r="U731" s="56"/>
      <c r="V731" s="56"/>
    </row>
    <row r="732" spans="1:22" ht="19.5" customHeight="1">
      <c r="A732" s="54"/>
      <c r="B732" s="55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56"/>
      <c r="U732" s="56"/>
      <c r="V732" s="56"/>
    </row>
    <row r="733" spans="1:22" ht="19.5" customHeight="1">
      <c r="A733" s="54"/>
      <c r="B733" s="55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56"/>
      <c r="U733" s="56"/>
      <c r="V733" s="56"/>
    </row>
    <row r="734" spans="1:22" ht="19.5" customHeight="1">
      <c r="A734" s="54"/>
      <c r="B734" s="55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56"/>
      <c r="U734" s="56"/>
      <c r="V734" s="56"/>
    </row>
    <row r="735" spans="1:22" ht="19.5" customHeight="1">
      <c r="A735" s="54"/>
      <c r="B735" s="55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56"/>
      <c r="U735" s="56"/>
      <c r="V735" s="56"/>
    </row>
    <row r="736" spans="1:22" ht="19.5" customHeight="1">
      <c r="A736" s="54"/>
      <c r="B736" s="55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56"/>
      <c r="U736" s="56"/>
      <c r="V736" s="56"/>
    </row>
    <row r="737" spans="1:22" ht="19.5" customHeight="1">
      <c r="A737" s="54"/>
      <c r="B737" s="55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56"/>
      <c r="U737" s="56"/>
      <c r="V737" s="56"/>
    </row>
    <row r="738" spans="1:22" ht="19.5" customHeight="1">
      <c r="A738" s="54"/>
      <c r="B738" s="55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56"/>
      <c r="U738" s="56"/>
      <c r="V738" s="56"/>
    </row>
    <row r="739" spans="1:22" ht="19.5" customHeight="1">
      <c r="A739" s="54"/>
      <c r="B739" s="55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56"/>
      <c r="U739" s="56"/>
      <c r="V739" s="56"/>
    </row>
    <row r="740" spans="1:22" ht="19.5" customHeight="1">
      <c r="A740" s="54"/>
      <c r="B740" s="55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56"/>
      <c r="U740" s="56"/>
      <c r="V740" s="56"/>
    </row>
    <row r="741" spans="1:22" ht="19.5" customHeight="1">
      <c r="A741" s="54"/>
      <c r="B741" s="55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56"/>
      <c r="U741" s="56"/>
      <c r="V741" s="56"/>
    </row>
    <row r="742" spans="1:22" ht="19.5" customHeight="1">
      <c r="A742" s="54"/>
      <c r="B742" s="55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56"/>
      <c r="U742" s="56"/>
      <c r="V742" s="56"/>
    </row>
    <row r="743" spans="1:22" ht="19.5" customHeight="1">
      <c r="A743" s="54"/>
      <c r="B743" s="55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56"/>
      <c r="U743" s="56"/>
      <c r="V743" s="56"/>
    </row>
    <row r="744" spans="1:22" ht="19.5" customHeight="1">
      <c r="A744" s="54"/>
      <c r="B744" s="55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56"/>
      <c r="U744" s="56"/>
      <c r="V744" s="56"/>
    </row>
    <row r="745" spans="1:22" ht="19.5" customHeight="1">
      <c r="A745" s="54"/>
      <c r="B745" s="55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56"/>
      <c r="U745" s="56"/>
      <c r="V745" s="56"/>
    </row>
    <row r="746" spans="1:22" ht="19.5" customHeight="1">
      <c r="A746" s="54"/>
      <c r="B746" s="55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56"/>
      <c r="U746" s="56"/>
      <c r="V746" s="56"/>
    </row>
    <row r="747" spans="1:22" ht="19.5" customHeight="1">
      <c r="A747" s="54"/>
      <c r="B747" s="55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56"/>
      <c r="U747" s="56"/>
      <c r="V747" s="56"/>
    </row>
    <row r="748" spans="1:22" ht="19.5" customHeight="1">
      <c r="A748" s="54"/>
      <c r="B748" s="55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56"/>
      <c r="U748" s="56"/>
      <c r="V748" s="56"/>
    </row>
    <row r="749" spans="1:22" ht="19.5" customHeight="1">
      <c r="A749" s="54"/>
      <c r="B749" s="55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56"/>
      <c r="U749" s="56"/>
      <c r="V749" s="56"/>
    </row>
    <row r="750" spans="1:22" ht="19.5" customHeight="1">
      <c r="A750" s="54"/>
      <c r="B750" s="55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56"/>
      <c r="U750" s="56"/>
      <c r="V750" s="56"/>
    </row>
    <row r="751" spans="1:22" ht="19.5" customHeight="1">
      <c r="A751" s="54"/>
      <c r="B751" s="55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56"/>
      <c r="U751" s="56"/>
      <c r="V751" s="56"/>
    </row>
    <row r="752" spans="1:22" ht="19.5" customHeight="1">
      <c r="A752" s="54"/>
      <c r="B752" s="55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56"/>
      <c r="U752" s="56"/>
      <c r="V752" s="56"/>
    </row>
    <row r="753" spans="1:22" ht="19.5" customHeight="1">
      <c r="A753" s="54"/>
      <c r="B753" s="55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56"/>
      <c r="U753" s="56"/>
      <c r="V753" s="56"/>
    </row>
    <row r="754" spans="1:22" ht="19.5" customHeight="1">
      <c r="A754" s="54"/>
      <c r="B754" s="55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56"/>
      <c r="U754" s="56"/>
      <c r="V754" s="56"/>
    </row>
    <row r="755" spans="1:22" ht="19.5" customHeight="1">
      <c r="A755" s="54"/>
      <c r="B755" s="55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56"/>
      <c r="U755" s="56"/>
      <c r="V755" s="56"/>
    </row>
    <row r="756" spans="1:22" ht="19.5" customHeight="1">
      <c r="A756" s="54"/>
      <c r="B756" s="55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56"/>
      <c r="U756" s="56"/>
      <c r="V756" s="56"/>
    </row>
    <row r="757" spans="1:22" ht="19.5" customHeight="1">
      <c r="A757" s="54"/>
      <c r="B757" s="55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56"/>
      <c r="U757" s="56"/>
      <c r="V757" s="56"/>
    </row>
    <row r="758" spans="1:22" ht="19.5" customHeight="1">
      <c r="A758" s="54"/>
      <c r="B758" s="55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56"/>
      <c r="U758" s="56"/>
      <c r="V758" s="56"/>
    </row>
    <row r="759" spans="1:22" ht="19.5" customHeight="1">
      <c r="A759" s="54"/>
      <c r="B759" s="55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56"/>
      <c r="U759" s="56"/>
      <c r="V759" s="56"/>
    </row>
    <row r="760" spans="1:22" ht="19.5" customHeight="1">
      <c r="A760" s="54"/>
      <c r="B760" s="55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56"/>
      <c r="U760" s="56"/>
      <c r="V760" s="56"/>
    </row>
    <row r="761" spans="1:22" ht="19.5" customHeight="1">
      <c r="A761" s="54"/>
      <c r="B761" s="55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56"/>
      <c r="U761" s="56"/>
      <c r="V761" s="56"/>
    </row>
    <row r="762" spans="1:22" ht="19.5" customHeight="1">
      <c r="A762" s="54"/>
      <c r="B762" s="55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56"/>
      <c r="U762" s="56"/>
      <c r="V762" s="56"/>
    </row>
    <row r="763" spans="1:22" ht="19.5" customHeight="1">
      <c r="A763" s="54"/>
      <c r="B763" s="55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56"/>
      <c r="U763" s="56"/>
      <c r="V763" s="56"/>
    </row>
    <row r="764" spans="1:22" ht="19.5" customHeight="1">
      <c r="A764" s="54"/>
      <c r="B764" s="55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56"/>
      <c r="U764" s="56"/>
      <c r="V764" s="56"/>
    </row>
    <row r="765" spans="1:22" ht="19.5" customHeight="1">
      <c r="A765" s="54"/>
      <c r="B765" s="55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56"/>
      <c r="U765" s="56"/>
      <c r="V765" s="56"/>
    </row>
    <row r="766" spans="1:22" ht="19.5" customHeight="1">
      <c r="A766" s="54"/>
      <c r="B766" s="55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56"/>
      <c r="U766" s="56"/>
      <c r="V766" s="56"/>
    </row>
    <row r="767" spans="1:22" ht="19.5" customHeight="1">
      <c r="A767" s="54"/>
      <c r="B767" s="55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56"/>
      <c r="U767" s="56"/>
      <c r="V767" s="56"/>
    </row>
    <row r="768" spans="1:22" ht="19.5" customHeight="1">
      <c r="A768" s="54"/>
      <c r="B768" s="55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56"/>
      <c r="U768" s="56"/>
      <c r="V768" s="56"/>
    </row>
    <row r="769" spans="1:22" ht="19.5" customHeight="1">
      <c r="A769" s="54"/>
      <c r="B769" s="55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56"/>
      <c r="U769" s="56"/>
      <c r="V769" s="56"/>
    </row>
    <row r="770" spans="1:22" ht="19.5" customHeight="1">
      <c r="A770" s="54"/>
      <c r="B770" s="55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56"/>
      <c r="U770" s="56"/>
      <c r="V770" s="56"/>
    </row>
    <row r="771" spans="1:22" ht="19.5" customHeight="1">
      <c r="A771" s="54"/>
      <c r="B771" s="55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56"/>
      <c r="U771" s="56"/>
      <c r="V771" s="56"/>
    </row>
    <row r="772" spans="1:22" ht="19.5" customHeight="1">
      <c r="A772" s="54"/>
      <c r="B772" s="55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56"/>
      <c r="U772" s="56"/>
      <c r="V772" s="56"/>
    </row>
    <row r="773" spans="1:22" ht="19.5" customHeight="1">
      <c r="A773" s="54"/>
      <c r="B773" s="55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56"/>
      <c r="U773" s="56"/>
      <c r="V773" s="56"/>
    </row>
    <row r="774" spans="1:22" ht="19.5" customHeight="1">
      <c r="A774" s="54"/>
      <c r="B774" s="55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56"/>
      <c r="U774" s="56"/>
      <c r="V774" s="56"/>
    </row>
    <row r="775" spans="1:22" ht="19.5" customHeight="1">
      <c r="A775" s="54"/>
      <c r="B775" s="55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56"/>
      <c r="U775" s="56"/>
      <c r="V775" s="56"/>
    </row>
    <row r="776" spans="1:22" ht="19.5" customHeight="1">
      <c r="A776" s="54"/>
      <c r="B776" s="55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56"/>
      <c r="U776" s="56"/>
      <c r="V776" s="56"/>
    </row>
    <row r="777" spans="1:22" ht="19.5" customHeight="1">
      <c r="A777" s="54"/>
      <c r="B777" s="55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56"/>
      <c r="U777" s="56"/>
      <c r="V777" s="56"/>
    </row>
    <row r="778" spans="1:22" ht="19.5" customHeight="1">
      <c r="A778" s="54"/>
      <c r="B778" s="55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56"/>
      <c r="U778" s="56"/>
      <c r="V778" s="56"/>
    </row>
    <row r="779" spans="1:22" ht="19.5" customHeight="1">
      <c r="A779" s="54"/>
      <c r="B779" s="55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56"/>
      <c r="U779" s="56"/>
      <c r="V779" s="56"/>
    </row>
    <row r="780" spans="1:22" ht="19.5" customHeight="1">
      <c r="A780" s="54"/>
      <c r="B780" s="55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56"/>
      <c r="U780" s="56"/>
      <c r="V780" s="56"/>
    </row>
    <row r="781" spans="1:22" ht="19.5" customHeight="1">
      <c r="A781" s="54"/>
      <c r="B781" s="55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56"/>
      <c r="U781" s="56"/>
      <c r="V781" s="56"/>
    </row>
    <row r="782" spans="1:22" ht="19.5" customHeight="1">
      <c r="A782" s="54"/>
      <c r="B782" s="55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56"/>
      <c r="U782" s="56"/>
      <c r="V782" s="56"/>
    </row>
    <row r="783" spans="1:22" ht="19.5" customHeight="1">
      <c r="A783" s="54"/>
      <c r="B783" s="55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56"/>
      <c r="U783" s="56"/>
      <c r="V783" s="56"/>
    </row>
    <row r="784" spans="1:22" ht="19.5" customHeight="1">
      <c r="A784" s="54"/>
      <c r="B784" s="55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56"/>
      <c r="U784" s="56"/>
      <c r="V784" s="56"/>
    </row>
    <row r="785" spans="1:22" ht="19.5" customHeight="1">
      <c r="A785" s="54"/>
      <c r="B785" s="55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56"/>
      <c r="U785" s="56"/>
      <c r="V785" s="56"/>
    </row>
    <row r="786" spans="1:22" ht="19.5" customHeight="1">
      <c r="A786" s="54"/>
      <c r="B786" s="55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56"/>
      <c r="U786" s="56"/>
      <c r="V786" s="56"/>
    </row>
    <row r="787" spans="1:22" ht="19.5" customHeight="1">
      <c r="A787" s="54"/>
      <c r="B787" s="55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56"/>
      <c r="U787" s="56"/>
      <c r="V787" s="56"/>
    </row>
    <row r="788" spans="1:22" ht="19.5" customHeight="1">
      <c r="A788" s="54"/>
      <c r="B788" s="55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56"/>
      <c r="U788" s="56"/>
      <c r="V788" s="56"/>
    </row>
    <row r="789" spans="1:22" ht="19.5" customHeight="1">
      <c r="A789" s="54"/>
      <c r="B789" s="55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56"/>
      <c r="U789" s="56"/>
      <c r="V789" s="56"/>
    </row>
    <row r="790" spans="1:22" ht="19.5" customHeight="1">
      <c r="A790" s="54"/>
      <c r="B790" s="55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56"/>
      <c r="U790" s="56"/>
      <c r="V790" s="56"/>
    </row>
    <row r="791" spans="1:22" ht="19.5" customHeight="1">
      <c r="A791" s="54"/>
      <c r="B791" s="55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56"/>
      <c r="U791" s="56"/>
      <c r="V791" s="56"/>
    </row>
    <row r="792" spans="1:22" ht="19.5" customHeight="1">
      <c r="A792" s="54"/>
      <c r="B792" s="55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56"/>
      <c r="U792" s="56"/>
      <c r="V792" s="56"/>
    </row>
    <row r="793" spans="1:22" ht="19.5" customHeight="1">
      <c r="A793" s="54"/>
      <c r="B793" s="55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56"/>
      <c r="U793" s="56"/>
      <c r="V793" s="56"/>
    </row>
    <row r="794" spans="1:22" ht="19.5" customHeight="1">
      <c r="A794" s="54"/>
      <c r="B794" s="55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56"/>
      <c r="U794" s="56"/>
      <c r="V794" s="56"/>
    </row>
    <row r="795" spans="1:22" ht="19.5" customHeight="1">
      <c r="A795" s="54"/>
      <c r="B795" s="55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56"/>
      <c r="U795" s="56"/>
      <c r="V795" s="56"/>
    </row>
    <row r="796" spans="1:22" ht="19.5" customHeight="1">
      <c r="A796" s="54"/>
      <c r="B796" s="55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56"/>
      <c r="U796" s="56"/>
      <c r="V796" s="56"/>
    </row>
    <row r="797" spans="1:22" ht="19.5" customHeight="1">
      <c r="A797" s="54"/>
      <c r="B797" s="55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56"/>
      <c r="U797" s="56"/>
      <c r="V797" s="56"/>
    </row>
    <row r="798" spans="1:22" ht="19.5" customHeight="1">
      <c r="A798" s="54"/>
      <c r="B798" s="55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56"/>
      <c r="U798" s="56"/>
      <c r="V798" s="56"/>
    </row>
    <row r="799" spans="1:22" ht="19.5" customHeight="1">
      <c r="A799" s="54"/>
      <c r="B799" s="55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56"/>
      <c r="U799" s="56"/>
      <c r="V799" s="56"/>
    </row>
    <row r="800" spans="1:22" ht="19.5" customHeight="1">
      <c r="A800" s="54"/>
      <c r="B800" s="55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56"/>
      <c r="U800" s="56"/>
      <c r="V800" s="56"/>
    </row>
    <row r="801" spans="1:22" ht="19.5" customHeight="1">
      <c r="A801" s="54"/>
      <c r="B801" s="55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56"/>
      <c r="U801" s="56"/>
      <c r="V801" s="56"/>
    </row>
    <row r="802" spans="1:22" ht="19.5" customHeight="1">
      <c r="A802" s="54"/>
      <c r="B802" s="55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56"/>
      <c r="U802" s="56"/>
      <c r="V802" s="56"/>
    </row>
    <row r="803" spans="1:22" ht="19.5" customHeight="1">
      <c r="A803" s="54"/>
      <c r="B803" s="55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56"/>
      <c r="U803" s="56"/>
      <c r="V803" s="56"/>
    </row>
    <row r="804" spans="1:22" ht="19.5" customHeight="1">
      <c r="A804" s="54"/>
      <c r="B804" s="55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56"/>
      <c r="U804" s="56"/>
      <c r="V804" s="56"/>
    </row>
    <row r="805" spans="1:22" ht="19.5" customHeight="1">
      <c r="A805" s="54"/>
      <c r="B805" s="55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56"/>
      <c r="U805" s="56"/>
      <c r="V805" s="56"/>
    </row>
    <row r="806" spans="1:22" ht="19.5" customHeight="1">
      <c r="A806" s="54"/>
      <c r="B806" s="55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56"/>
      <c r="U806" s="56"/>
      <c r="V806" s="56"/>
    </row>
    <row r="807" spans="1:22" ht="19.5" customHeight="1">
      <c r="A807" s="54"/>
      <c r="B807" s="55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56"/>
      <c r="U807" s="56"/>
      <c r="V807" s="56"/>
    </row>
    <row r="808" spans="1:22" ht="19.5" customHeight="1">
      <c r="A808" s="54"/>
      <c r="B808" s="55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56"/>
      <c r="U808" s="56"/>
      <c r="V808" s="56"/>
    </row>
    <row r="809" spans="1:22" ht="19.5" customHeight="1">
      <c r="A809" s="54"/>
      <c r="B809" s="55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56"/>
      <c r="U809" s="56"/>
      <c r="V809" s="56"/>
    </row>
    <row r="810" spans="1:22" ht="19.5" customHeight="1">
      <c r="A810" s="54"/>
      <c r="B810" s="55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56"/>
      <c r="U810" s="56"/>
      <c r="V810" s="56"/>
    </row>
    <row r="811" spans="1:22" ht="19.5" customHeight="1">
      <c r="A811" s="54"/>
      <c r="B811" s="55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56"/>
      <c r="U811" s="56"/>
      <c r="V811" s="56"/>
    </row>
    <row r="812" spans="1:22" ht="19.5" customHeight="1">
      <c r="A812" s="54"/>
      <c r="B812" s="55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56"/>
      <c r="U812" s="56"/>
      <c r="V812" s="56"/>
    </row>
    <row r="813" spans="1:22" ht="19.5" customHeight="1">
      <c r="A813" s="54"/>
      <c r="B813" s="55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56"/>
      <c r="U813" s="56"/>
      <c r="V813" s="56"/>
    </row>
    <row r="814" spans="1:22" ht="19.5" customHeight="1">
      <c r="A814" s="54"/>
      <c r="B814" s="55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56"/>
      <c r="U814" s="56"/>
      <c r="V814" s="56"/>
    </row>
    <row r="815" spans="1:22" ht="19.5" customHeight="1">
      <c r="A815" s="54"/>
      <c r="B815" s="55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56"/>
      <c r="U815" s="56"/>
      <c r="V815" s="56"/>
    </row>
    <row r="816" spans="1:22" ht="19.5" customHeight="1">
      <c r="A816" s="54"/>
      <c r="B816" s="55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56"/>
      <c r="U816" s="56"/>
      <c r="V816" s="56"/>
    </row>
    <row r="817" spans="1:22" ht="19.5" customHeight="1">
      <c r="A817" s="54"/>
      <c r="B817" s="55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56"/>
      <c r="U817" s="56"/>
      <c r="V817" s="56"/>
    </row>
    <row r="818" spans="1:22" ht="19.5" customHeight="1">
      <c r="A818" s="54"/>
      <c r="B818" s="55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56"/>
      <c r="U818" s="56"/>
      <c r="V818" s="56"/>
    </row>
    <row r="819" spans="1:22" ht="19.5" customHeight="1">
      <c r="A819" s="54"/>
      <c r="B819" s="55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56"/>
      <c r="U819" s="56"/>
      <c r="V819" s="56"/>
    </row>
    <row r="820" spans="1:22" ht="19.5" customHeight="1">
      <c r="A820" s="54"/>
      <c r="B820" s="55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56"/>
      <c r="U820" s="56"/>
      <c r="V820" s="56"/>
    </row>
    <row r="821" spans="1:22" ht="19.5" customHeight="1">
      <c r="A821" s="54"/>
      <c r="B821" s="55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56"/>
      <c r="U821" s="56"/>
      <c r="V821" s="56"/>
    </row>
    <row r="822" spans="1:22" ht="19.5" customHeight="1">
      <c r="A822" s="54"/>
      <c r="B822" s="55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56"/>
      <c r="U822" s="56"/>
      <c r="V822" s="56"/>
    </row>
    <row r="823" spans="1:22" ht="19.5" customHeight="1">
      <c r="A823" s="54"/>
      <c r="B823" s="55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56"/>
      <c r="U823" s="56"/>
      <c r="V823" s="56"/>
    </row>
    <row r="824" spans="1:22" ht="19.5" customHeight="1">
      <c r="A824" s="54"/>
      <c r="B824" s="55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56"/>
      <c r="U824" s="56"/>
      <c r="V824" s="56"/>
    </row>
    <row r="825" spans="1:22" ht="19.5" customHeight="1">
      <c r="A825" s="54"/>
      <c r="B825" s="55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56"/>
      <c r="U825" s="56"/>
      <c r="V825" s="56"/>
    </row>
    <row r="826" spans="1:22" ht="19.5" customHeight="1">
      <c r="A826" s="54"/>
      <c r="B826" s="55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56"/>
      <c r="U826" s="56"/>
      <c r="V826" s="56"/>
    </row>
    <row r="827" spans="1:22" ht="19.5" customHeight="1">
      <c r="A827" s="54"/>
      <c r="B827" s="55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56"/>
      <c r="U827" s="56"/>
      <c r="V827" s="56"/>
    </row>
    <row r="828" spans="1:22" ht="19.5" customHeight="1">
      <c r="A828" s="54"/>
      <c r="B828" s="55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56"/>
      <c r="U828" s="56"/>
      <c r="V828" s="56"/>
    </row>
    <row r="829" spans="1:22" ht="19.5" customHeight="1">
      <c r="A829" s="54"/>
      <c r="B829" s="55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56"/>
      <c r="U829" s="56"/>
      <c r="V829" s="56"/>
    </row>
    <row r="830" spans="1:22" ht="19.5" customHeight="1">
      <c r="A830" s="54"/>
      <c r="B830" s="55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56"/>
      <c r="U830" s="56"/>
      <c r="V830" s="56"/>
    </row>
    <row r="831" spans="1:22" ht="19.5" customHeight="1">
      <c r="A831" s="54"/>
      <c r="B831" s="55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56"/>
      <c r="U831" s="56"/>
      <c r="V831" s="56"/>
    </row>
    <row r="832" spans="1:22" ht="19.5" customHeight="1">
      <c r="A832" s="54"/>
      <c r="B832" s="55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56"/>
      <c r="U832" s="56"/>
      <c r="V832" s="56"/>
    </row>
    <row r="833" spans="1:22" ht="19.5" customHeight="1">
      <c r="A833" s="54"/>
      <c r="B833" s="55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56"/>
      <c r="U833" s="56"/>
      <c r="V833" s="56"/>
    </row>
    <row r="834" spans="1:22" ht="19.5" customHeight="1">
      <c r="A834" s="54"/>
      <c r="B834" s="55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56"/>
      <c r="U834" s="56"/>
      <c r="V834" s="56"/>
    </row>
    <row r="835" spans="1:22" ht="19.5" customHeight="1">
      <c r="A835" s="54"/>
      <c r="B835" s="55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56"/>
      <c r="U835" s="56"/>
      <c r="V835" s="56"/>
    </row>
    <row r="836" spans="1:22" ht="19.5" customHeight="1">
      <c r="A836" s="54"/>
      <c r="B836" s="55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56"/>
      <c r="U836" s="56"/>
      <c r="V836" s="56"/>
    </row>
    <row r="837" spans="1:22" ht="19.5" customHeight="1">
      <c r="A837" s="54"/>
      <c r="B837" s="55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56"/>
      <c r="U837" s="56"/>
      <c r="V837" s="56"/>
    </row>
    <row r="838" spans="1:22" ht="19.5" customHeight="1">
      <c r="A838" s="54"/>
      <c r="B838" s="55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56"/>
      <c r="U838" s="56"/>
      <c r="V838" s="56"/>
    </row>
    <row r="839" spans="1:22" ht="19.5" customHeight="1">
      <c r="A839" s="54"/>
      <c r="B839" s="55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56"/>
      <c r="U839" s="56"/>
      <c r="V839" s="56"/>
    </row>
    <row r="840" spans="1:22" ht="19.5" customHeight="1">
      <c r="A840" s="54"/>
      <c r="B840" s="55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56"/>
      <c r="U840" s="56"/>
      <c r="V840" s="56"/>
    </row>
    <row r="841" spans="1:22" ht="19.5" customHeight="1">
      <c r="A841" s="54"/>
      <c r="B841" s="55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56"/>
      <c r="U841" s="56"/>
      <c r="V841" s="56"/>
    </row>
    <row r="842" spans="1:22" ht="19.5" customHeight="1">
      <c r="A842" s="54"/>
      <c r="B842" s="55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56"/>
      <c r="U842" s="56"/>
      <c r="V842" s="56"/>
    </row>
    <row r="843" spans="1:22" ht="19.5" customHeight="1">
      <c r="A843" s="54"/>
      <c r="B843" s="55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56"/>
      <c r="U843" s="56"/>
      <c r="V843" s="56"/>
    </row>
    <row r="844" spans="1:22" ht="19.5" customHeight="1">
      <c r="A844" s="54"/>
      <c r="B844" s="55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56"/>
      <c r="U844" s="56"/>
      <c r="V844" s="56"/>
    </row>
    <row r="845" spans="1:22" ht="19.5" customHeight="1">
      <c r="A845" s="54"/>
      <c r="B845" s="55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56"/>
      <c r="U845" s="56"/>
      <c r="V845" s="56"/>
    </row>
    <row r="846" spans="1:22" ht="19.5" customHeight="1">
      <c r="A846" s="54"/>
      <c r="B846" s="55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56"/>
      <c r="U846" s="56"/>
      <c r="V846" s="56"/>
    </row>
    <row r="847" spans="1:22" ht="19.5" customHeight="1">
      <c r="A847" s="54"/>
      <c r="B847" s="55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56"/>
      <c r="U847" s="56"/>
      <c r="V847" s="56"/>
    </row>
    <row r="848" spans="1:22" ht="19.5" customHeight="1">
      <c r="A848" s="54"/>
      <c r="B848" s="55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56"/>
      <c r="U848" s="56"/>
      <c r="V848" s="56"/>
    </row>
    <row r="849" spans="1:22" ht="19.5" customHeight="1">
      <c r="A849" s="54"/>
      <c r="B849" s="55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56"/>
      <c r="U849" s="56"/>
      <c r="V849" s="56"/>
    </row>
    <row r="850" spans="1:22" ht="19.5" customHeight="1">
      <c r="A850" s="54"/>
      <c r="B850" s="55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56"/>
      <c r="U850" s="56"/>
      <c r="V850" s="56"/>
    </row>
    <row r="851" spans="1:22" ht="19.5" customHeight="1">
      <c r="A851" s="54"/>
      <c r="B851" s="55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56"/>
      <c r="U851" s="56"/>
      <c r="V851" s="56"/>
    </row>
    <row r="852" spans="1:22" ht="19.5" customHeight="1">
      <c r="A852" s="54"/>
      <c r="B852" s="55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56"/>
      <c r="U852" s="56"/>
      <c r="V852" s="56"/>
    </row>
    <row r="853" spans="1:22" ht="19.5" customHeight="1">
      <c r="A853" s="54"/>
      <c r="B853" s="55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56"/>
      <c r="U853" s="56"/>
      <c r="V853" s="56"/>
    </row>
    <row r="854" spans="1:22" ht="19.5" customHeight="1">
      <c r="A854" s="54"/>
      <c r="B854" s="55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56"/>
      <c r="U854" s="56"/>
      <c r="V854" s="56"/>
    </row>
    <row r="855" spans="1:22" ht="19.5" customHeight="1">
      <c r="A855" s="54"/>
      <c r="B855" s="55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56"/>
      <c r="U855" s="56"/>
      <c r="V855" s="56"/>
    </row>
    <row r="856" spans="1:22" ht="19.5" customHeight="1">
      <c r="A856" s="54"/>
      <c r="B856" s="55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56"/>
      <c r="U856" s="56"/>
      <c r="V856" s="56"/>
    </row>
    <row r="857" spans="1:22" ht="19.5" customHeight="1">
      <c r="A857" s="54"/>
      <c r="B857" s="55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56"/>
      <c r="U857" s="56"/>
      <c r="V857" s="56"/>
    </row>
    <row r="858" spans="1:22" ht="19.5" customHeight="1">
      <c r="A858" s="54"/>
      <c r="B858" s="55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56"/>
      <c r="U858" s="56"/>
      <c r="V858" s="56"/>
    </row>
    <row r="859" spans="1:22" ht="19.5" customHeight="1">
      <c r="A859" s="54"/>
      <c r="B859" s="55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56"/>
      <c r="U859" s="56"/>
      <c r="V859" s="56"/>
    </row>
    <row r="860" spans="1:22" ht="19.5" customHeight="1">
      <c r="A860" s="54"/>
      <c r="B860" s="55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56"/>
      <c r="U860" s="56"/>
      <c r="V860" s="56"/>
    </row>
    <row r="861" spans="1:22" ht="19.5" customHeight="1">
      <c r="A861" s="54"/>
      <c r="B861" s="55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56"/>
      <c r="U861" s="56"/>
      <c r="V861" s="56"/>
    </row>
    <row r="862" spans="1:22" ht="19.5" customHeight="1">
      <c r="A862" s="54"/>
      <c r="B862" s="55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56"/>
      <c r="U862" s="56"/>
      <c r="V862" s="56"/>
    </row>
    <row r="863" spans="1:22" ht="19.5" customHeight="1">
      <c r="A863" s="54"/>
      <c r="B863" s="55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56"/>
      <c r="U863" s="56"/>
      <c r="V863" s="56"/>
    </row>
    <row r="864" spans="1:22" ht="19.5" customHeight="1">
      <c r="A864" s="54"/>
      <c r="B864" s="55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56"/>
      <c r="U864" s="56"/>
      <c r="V864" s="56"/>
    </row>
    <row r="865" spans="1:22" ht="19.5" customHeight="1">
      <c r="A865" s="54"/>
      <c r="B865" s="55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56"/>
      <c r="U865" s="56"/>
      <c r="V865" s="56"/>
    </row>
    <row r="866" spans="1:22" ht="19.5" customHeight="1">
      <c r="A866" s="54"/>
      <c r="B866" s="55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56"/>
      <c r="U866" s="56"/>
      <c r="V866" s="56"/>
    </row>
    <row r="867" spans="1:22" ht="19.5" customHeight="1">
      <c r="A867" s="54"/>
      <c r="B867" s="55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56"/>
      <c r="U867" s="56"/>
      <c r="V867" s="56"/>
    </row>
    <row r="868" spans="1:22" ht="19.5" customHeight="1">
      <c r="A868" s="54"/>
      <c r="B868" s="55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56"/>
      <c r="U868" s="56"/>
      <c r="V868" s="56"/>
    </row>
    <row r="869" spans="1:22" ht="19.5" customHeight="1">
      <c r="A869" s="54"/>
      <c r="B869" s="55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56"/>
      <c r="U869" s="56"/>
      <c r="V869" s="56"/>
    </row>
    <row r="870" spans="1:22" ht="19.5" customHeight="1">
      <c r="A870" s="54"/>
      <c r="B870" s="55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56"/>
      <c r="U870" s="56"/>
      <c r="V870" s="56"/>
    </row>
    <row r="871" spans="1:22" ht="19.5" customHeight="1">
      <c r="A871" s="54"/>
      <c r="B871" s="55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56"/>
      <c r="U871" s="56"/>
      <c r="V871" s="56"/>
    </row>
    <row r="872" spans="1:22" ht="19.5" customHeight="1">
      <c r="A872" s="54"/>
      <c r="B872" s="55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56"/>
      <c r="U872" s="56"/>
      <c r="V872" s="56"/>
    </row>
    <row r="873" spans="1:22" ht="19.5" customHeight="1">
      <c r="A873" s="54"/>
      <c r="B873" s="55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56"/>
      <c r="U873" s="56"/>
      <c r="V873" s="56"/>
    </row>
    <row r="874" spans="1:22" ht="19.5" customHeight="1">
      <c r="A874" s="54"/>
      <c r="B874" s="55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56"/>
      <c r="U874" s="56"/>
      <c r="V874" s="56"/>
    </row>
    <row r="875" spans="1:22" ht="19.5" customHeight="1">
      <c r="A875" s="54"/>
      <c r="B875" s="55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56"/>
      <c r="U875" s="56"/>
      <c r="V875" s="56"/>
    </row>
    <row r="876" spans="1:22" ht="19.5" customHeight="1">
      <c r="A876" s="54"/>
      <c r="B876" s="55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56"/>
      <c r="U876" s="56"/>
      <c r="V876" s="56"/>
    </row>
    <row r="877" spans="1:22" ht="19.5" customHeight="1">
      <c r="A877" s="54"/>
      <c r="B877" s="55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56"/>
      <c r="U877" s="56"/>
      <c r="V877" s="56"/>
    </row>
    <row r="878" spans="1:22" ht="19.5" customHeight="1">
      <c r="A878" s="54"/>
      <c r="B878" s="55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56"/>
      <c r="U878" s="56"/>
      <c r="V878" s="56"/>
    </row>
    <row r="879" spans="1:22" ht="19.5" customHeight="1">
      <c r="A879" s="54"/>
      <c r="B879" s="55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56"/>
      <c r="U879" s="56"/>
      <c r="V879" s="56"/>
    </row>
    <row r="880" spans="1:22" ht="19.5" customHeight="1">
      <c r="A880" s="54"/>
      <c r="B880" s="55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56"/>
      <c r="U880" s="56"/>
      <c r="V880" s="56"/>
    </row>
    <row r="881" spans="1:22" ht="19.5" customHeight="1">
      <c r="A881" s="54"/>
      <c r="B881" s="55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56"/>
      <c r="U881" s="56"/>
      <c r="V881" s="56"/>
    </row>
    <row r="882" spans="1:22" ht="19.5" customHeight="1">
      <c r="A882" s="54"/>
      <c r="B882" s="55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56"/>
      <c r="U882" s="56"/>
      <c r="V882" s="56"/>
    </row>
    <row r="883" spans="1:22" ht="19.5" customHeight="1">
      <c r="A883" s="54"/>
      <c r="B883" s="55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56"/>
      <c r="U883" s="56"/>
      <c r="V883" s="56"/>
    </row>
    <row r="884" spans="1:22" ht="19.5" customHeight="1">
      <c r="A884" s="54"/>
      <c r="B884" s="55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56"/>
      <c r="U884" s="56"/>
      <c r="V884" s="56"/>
    </row>
    <row r="885" spans="1:22" ht="19.5" customHeight="1">
      <c r="A885" s="54"/>
      <c r="B885" s="55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56"/>
      <c r="U885" s="56"/>
      <c r="V885" s="56"/>
    </row>
    <row r="886" spans="1:22" ht="19.5" customHeight="1">
      <c r="A886" s="54"/>
      <c r="B886" s="55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56"/>
      <c r="U886" s="56"/>
      <c r="V886" s="56"/>
    </row>
    <row r="887" spans="1:22" ht="19.5" customHeight="1">
      <c r="A887" s="54"/>
      <c r="B887" s="55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56"/>
      <c r="U887" s="56"/>
      <c r="V887" s="56"/>
    </row>
    <row r="888" spans="1:22" ht="19.5" customHeight="1">
      <c r="A888" s="54"/>
      <c r="B888" s="55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56"/>
      <c r="U888" s="56"/>
      <c r="V888" s="56"/>
    </row>
    <row r="889" spans="1:22" ht="19.5" customHeight="1">
      <c r="A889" s="54"/>
      <c r="B889" s="55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56"/>
      <c r="U889" s="56"/>
      <c r="V889" s="56"/>
    </row>
    <row r="890" spans="1:22" ht="19.5" customHeight="1">
      <c r="A890" s="54"/>
      <c r="B890" s="55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56"/>
      <c r="U890" s="56"/>
      <c r="V890" s="56"/>
    </row>
    <row r="891" spans="1:22" ht="19.5" customHeight="1">
      <c r="A891" s="54"/>
      <c r="B891" s="55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56"/>
      <c r="U891" s="56"/>
      <c r="V891" s="56"/>
    </row>
    <row r="892" spans="1:22" ht="19.5" customHeight="1">
      <c r="A892" s="54"/>
      <c r="B892" s="55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56"/>
      <c r="U892" s="56"/>
      <c r="V892" s="56"/>
    </row>
    <row r="893" spans="1:22" ht="19.5" customHeight="1">
      <c r="A893" s="54"/>
      <c r="B893" s="55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56"/>
      <c r="U893" s="56"/>
      <c r="V893" s="56"/>
    </row>
    <row r="894" spans="1:22" ht="19.5" customHeight="1">
      <c r="A894" s="54"/>
      <c r="B894" s="55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56"/>
      <c r="U894" s="56"/>
      <c r="V894" s="56"/>
    </row>
    <row r="895" spans="1:22" ht="19.5" customHeight="1">
      <c r="A895" s="54"/>
      <c r="B895" s="55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56"/>
      <c r="U895" s="56"/>
      <c r="V895" s="56"/>
    </row>
    <row r="896" spans="1:22" ht="19.5" customHeight="1">
      <c r="A896" s="54"/>
      <c r="B896" s="55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56"/>
      <c r="U896" s="56"/>
      <c r="V896" s="56"/>
    </row>
    <row r="897" spans="1:22" ht="19.5" customHeight="1">
      <c r="A897" s="54"/>
      <c r="B897" s="55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56"/>
      <c r="U897" s="56"/>
      <c r="V897" s="56"/>
    </row>
    <row r="898" spans="1:22" ht="19.5" customHeight="1">
      <c r="A898" s="54"/>
      <c r="B898" s="55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56"/>
      <c r="U898" s="56"/>
      <c r="V898" s="56"/>
    </row>
    <row r="899" spans="1:22" ht="19.5" customHeight="1">
      <c r="A899" s="54"/>
      <c r="B899" s="55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56"/>
      <c r="U899" s="56"/>
      <c r="V899" s="56"/>
    </row>
    <row r="900" spans="1:22" ht="19.5" customHeight="1">
      <c r="A900" s="54"/>
      <c r="B900" s="55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56"/>
      <c r="U900" s="56"/>
      <c r="V900" s="56"/>
    </row>
    <row r="901" spans="1:22" ht="19.5" customHeight="1">
      <c r="A901" s="54"/>
      <c r="B901" s="55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56"/>
      <c r="U901" s="56"/>
      <c r="V901" s="56"/>
    </row>
    <row r="902" spans="1:22" ht="19.5" customHeight="1">
      <c r="A902" s="54"/>
      <c r="B902" s="55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56"/>
      <c r="U902" s="56"/>
      <c r="V902" s="56"/>
    </row>
    <row r="903" spans="1:22" ht="19.5" customHeight="1">
      <c r="A903" s="54"/>
      <c r="B903" s="55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56"/>
      <c r="U903" s="56"/>
      <c r="V903" s="56"/>
    </row>
    <row r="904" spans="1:22" ht="19.5" customHeight="1">
      <c r="A904" s="54"/>
      <c r="B904" s="55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56"/>
      <c r="U904" s="56"/>
      <c r="V904" s="56"/>
    </row>
    <row r="905" spans="1:22" ht="19.5" customHeight="1">
      <c r="A905" s="54"/>
      <c r="B905" s="55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56"/>
      <c r="U905" s="56"/>
      <c r="V905" s="56"/>
    </row>
    <row r="906" spans="1:22" ht="19.5" customHeight="1">
      <c r="A906" s="54"/>
      <c r="B906" s="55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56"/>
      <c r="U906" s="56"/>
      <c r="V906" s="56"/>
    </row>
    <row r="907" spans="1:22" ht="19.5" customHeight="1">
      <c r="A907" s="54"/>
      <c r="B907" s="55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56"/>
      <c r="U907" s="56"/>
      <c r="V907" s="56"/>
    </row>
    <row r="908" spans="1:22" ht="19.5" customHeight="1">
      <c r="A908" s="54"/>
      <c r="B908" s="55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56"/>
      <c r="U908" s="56"/>
      <c r="V908" s="56"/>
    </row>
    <row r="909" spans="1:22" ht="19.5" customHeight="1">
      <c r="A909" s="54"/>
      <c r="B909" s="55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56"/>
      <c r="U909" s="56"/>
      <c r="V909" s="56"/>
    </row>
    <row r="910" spans="1:22" ht="19.5" customHeight="1">
      <c r="A910" s="54"/>
      <c r="B910" s="55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56"/>
      <c r="U910" s="56"/>
      <c r="V910" s="56"/>
    </row>
    <row r="911" spans="1:22" ht="19.5" customHeight="1">
      <c r="A911" s="54"/>
      <c r="B911" s="55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56"/>
      <c r="U911" s="56"/>
      <c r="V911" s="56"/>
    </row>
    <row r="912" spans="1:22" ht="19.5" customHeight="1">
      <c r="A912" s="54"/>
      <c r="B912" s="55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56"/>
      <c r="U912" s="56"/>
      <c r="V912" s="56"/>
    </row>
    <row r="913" spans="1:22" ht="19.5" customHeight="1">
      <c r="A913" s="54"/>
      <c r="B913" s="55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56"/>
      <c r="U913" s="56"/>
      <c r="V913" s="56"/>
    </row>
    <row r="914" spans="1:22" ht="19.5" customHeight="1">
      <c r="A914" s="54"/>
      <c r="B914" s="55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56"/>
      <c r="U914" s="56"/>
      <c r="V914" s="56"/>
    </row>
    <row r="915" spans="1:22" ht="19.5" customHeight="1">
      <c r="A915" s="54"/>
      <c r="B915" s="55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56"/>
      <c r="U915" s="56"/>
      <c r="V915" s="56"/>
    </row>
    <row r="916" spans="1:22" ht="19.5" customHeight="1">
      <c r="A916" s="54"/>
      <c r="B916" s="55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56"/>
      <c r="U916" s="56"/>
      <c r="V916" s="56"/>
    </row>
    <row r="917" spans="1:22" ht="19.5" customHeight="1">
      <c r="A917" s="54"/>
      <c r="B917" s="55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56"/>
      <c r="U917" s="56"/>
      <c r="V917" s="56"/>
    </row>
    <row r="918" spans="1:22" ht="19.5" customHeight="1">
      <c r="A918" s="54"/>
      <c r="B918" s="55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56"/>
      <c r="U918" s="56"/>
      <c r="V918" s="56"/>
    </row>
    <row r="919" spans="1:22" ht="19.5" customHeight="1">
      <c r="A919" s="54"/>
      <c r="B919" s="55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56"/>
      <c r="U919" s="56"/>
      <c r="V919" s="56"/>
    </row>
    <row r="920" spans="1:22" ht="19.5" customHeight="1">
      <c r="A920" s="54"/>
      <c r="B920" s="55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56"/>
      <c r="U920" s="56"/>
      <c r="V920" s="56"/>
    </row>
    <row r="921" spans="1:22" ht="19.5" customHeight="1">
      <c r="A921" s="54"/>
      <c r="B921" s="55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56"/>
      <c r="U921" s="56"/>
      <c r="V921" s="56"/>
    </row>
    <row r="922" spans="1:22" ht="19.5" customHeight="1">
      <c r="A922" s="54"/>
      <c r="B922" s="55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56"/>
      <c r="U922" s="56"/>
      <c r="V922" s="56"/>
    </row>
    <row r="923" spans="1:22" ht="19.5" customHeight="1">
      <c r="A923" s="54"/>
      <c r="B923" s="55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56"/>
      <c r="U923" s="56"/>
      <c r="V923" s="56"/>
    </row>
    <row r="924" spans="1:22" ht="19.5" customHeight="1">
      <c r="A924" s="54"/>
      <c r="B924" s="55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56"/>
      <c r="U924" s="56"/>
      <c r="V924" s="56"/>
    </row>
    <row r="925" spans="1:22" ht="19.5" customHeight="1">
      <c r="A925" s="54"/>
      <c r="B925" s="55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56"/>
      <c r="U925" s="56"/>
      <c r="V925" s="56"/>
    </row>
    <row r="926" spans="1:22" ht="19.5" customHeight="1">
      <c r="A926" s="54"/>
      <c r="B926" s="55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56"/>
      <c r="U926" s="56"/>
      <c r="V926" s="56"/>
    </row>
    <row r="927" spans="1:22" ht="19.5" customHeight="1">
      <c r="A927" s="54"/>
      <c r="B927" s="55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56"/>
      <c r="U927" s="56"/>
      <c r="V927" s="56"/>
    </row>
    <row r="928" spans="1:22" ht="19.5" customHeight="1">
      <c r="A928" s="54"/>
      <c r="B928" s="55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56"/>
      <c r="U928" s="56"/>
      <c r="V928" s="56"/>
    </row>
    <row r="929" spans="1:22" ht="19.5" customHeight="1">
      <c r="A929" s="54"/>
      <c r="B929" s="55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56"/>
      <c r="U929" s="56"/>
      <c r="V929" s="56"/>
    </row>
    <row r="930" spans="1:22" ht="19.5" customHeight="1">
      <c r="A930" s="54"/>
      <c r="B930" s="55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56"/>
      <c r="U930" s="56"/>
      <c r="V930" s="56"/>
    </row>
    <row r="931" spans="1:22" ht="19.5" customHeight="1">
      <c r="A931" s="54"/>
      <c r="B931" s="55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56"/>
      <c r="U931" s="56"/>
      <c r="V931" s="56"/>
    </row>
    <row r="932" spans="1:22" ht="19.5" customHeight="1">
      <c r="A932" s="54"/>
      <c r="B932" s="55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56"/>
      <c r="U932" s="56"/>
      <c r="V932" s="56"/>
    </row>
    <row r="933" spans="1:22" ht="19.5" customHeight="1">
      <c r="A933" s="54"/>
      <c r="B933" s="55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56"/>
      <c r="U933" s="56"/>
      <c r="V933" s="56"/>
    </row>
    <row r="934" spans="1:22" ht="19.5" customHeight="1">
      <c r="A934" s="54"/>
      <c r="B934" s="55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56"/>
      <c r="U934" s="56"/>
      <c r="V934" s="56"/>
    </row>
    <row r="935" spans="1:22" ht="19.5" customHeight="1">
      <c r="A935" s="54"/>
      <c r="B935" s="55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56"/>
      <c r="U935" s="56"/>
      <c r="V935" s="56"/>
    </row>
    <row r="936" spans="1:22" ht="19.5" customHeight="1">
      <c r="A936" s="54"/>
      <c r="B936" s="55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56"/>
      <c r="U936" s="56"/>
      <c r="V936" s="56"/>
    </row>
    <row r="937" spans="1:22" ht="19.5" customHeight="1">
      <c r="A937" s="54"/>
      <c r="B937" s="55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56"/>
      <c r="U937" s="56"/>
      <c r="V937" s="56"/>
    </row>
    <row r="938" spans="1:22" ht="19.5" customHeight="1">
      <c r="A938" s="54"/>
      <c r="B938" s="55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56"/>
      <c r="U938" s="56"/>
      <c r="V938" s="56"/>
    </row>
    <row r="939" spans="1:22" ht="19.5" customHeight="1">
      <c r="A939" s="54"/>
      <c r="B939" s="55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56"/>
      <c r="U939" s="56"/>
      <c r="V939" s="56"/>
    </row>
    <row r="940" spans="1:22" ht="19.5" customHeight="1">
      <c r="A940" s="54"/>
      <c r="B940" s="55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56"/>
      <c r="U940" s="56"/>
      <c r="V940" s="56"/>
    </row>
    <row r="941" spans="1:22" ht="19.5" customHeight="1">
      <c r="A941" s="54"/>
      <c r="B941" s="55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56"/>
      <c r="U941" s="56"/>
      <c r="V941" s="56"/>
    </row>
    <row r="942" spans="1:22" ht="19.5" customHeight="1">
      <c r="A942" s="54"/>
      <c r="B942" s="55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56"/>
      <c r="U942" s="56"/>
      <c r="V942" s="56"/>
    </row>
    <row r="943" spans="1:22" ht="19.5" customHeight="1">
      <c r="A943" s="54"/>
      <c r="B943" s="55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56"/>
      <c r="U943" s="56"/>
      <c r="V943" s="56"/>
    </row>
    <row r="944" spans="1:22" ht="19.5" customHeight="1">
      <c r="A944" s="54"/>
      <c r="B944" s="55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56"/>
      <c r="U944" s="56"/>
      <c r="V944" s="56"/>
    </row>
    <row r="945" spans="1:22" ht="19.5" customHeight="1">
      <c r="A945" s="54"/>
      <c r="B945" s="55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56"/>
      <c r="U945" s="56"/>
      <c r="V945" s="56"/>
    </row>
    <row r="946" spans="1:22" ht="19.5" customHeight="1">
      <c r="A946" s="54"/>
      <c r="B946" s="55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56"/>
      <c r="U946" s="56"/>
      <c r="V946" s="56"/>
    </row>
    <row r="947" spans="1:22" ht="19.5" customHeight="1">
      <c r="A947" s="54"/>
      <c r="B947" s="55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56"/>
      <c r="U947" s="56"/>
      <c r="V947" s="56"/>
    </row>
    <row r="948" spans="1:22" ht="19.5" customHeight="1">
      <c r="A948" s="54"/>
      <c r="B948" s="55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56"/>
      <c r="U948" s="56"/>
      <c r="V948" s="56"/>
    </row>
    <row r="949" spans="1:22" ht="19.5" customHeight="1">
      <c r="A949" s="54"/>
      <c r="B949" s="55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56"/>
      <c r="U949" s="56"/>
      <c r="V949" s="56"/>
    </row>
    <row r="950" spans="1:22" ht="19.5" customHeight="1">
      <c r="A950" s="54"/>
      <c r="B950" s="55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56"/>
      <c r="U950" s="56"/>
      <c r="V950" s="56"/>
    </row>
    <row r="951" spans="1:22" ht="19.5" customHeight="1">
      <c r="A951" s="54"/>
      <c r="B951" s="55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56"/>
      <c r="U951" s="56"/>
      <c r="V951" s="56"/>
    </row>
    <row r="952" spans="1:22" ht="19.5" customHeight="1">
      <c r="A952" s="54"/>
      <c r="B952" s="55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56"/>
      <c r="U952" s="56"/>
      <c r="V952" s="56"/>
    </row>
    <row r="953" spans="1:22" ht="19.5" customHeight="1">
      <c r="A953" s="54"/>
      <c r="B953" s="55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56"/>
      <c r="U953" s="56"/>
      <c r="V953" s="56"/>
    </row>
    <row r="954" spans="1:22" ht="19.5" customHeight="1">
      <c r="A954" s="54"/>
      <c r="B954" s="55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56"/>
      <c r="U954" s="56"/>
      <c r="V954" s="56"/>
    </row>
    <row r="955" spans="1:22" ht="19.5" customHeight="1">
      <c r="A955" s="54"/>
      <c r="B955" s="55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56"/>
      <c r="U955" s="56"/>
      <c r="V955" s="56"/>
    </row>
    <row r="956" spans="1:22" ht="19.5" customHeight="1">
      <c r="A956" s="54"/>
      <c r="B956" s="55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56"/>
      <c r="U956" s="56"/>
      <c r="V956" s="56"/>
    </row>
    <row r="957" spans="1:22" ht="19.5" customHeight="1">
      <c r="A957" s="54"/>
      <c r="B957" s="55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56"/>
      <c r="U957" s="56"/>
      <c r="V957" s="56"/>
    </row>
    <row r="958" spans="1:22" ht="19.5" customHeight="1">
      <c r="A958" s="54"/>
      <c r="B958" s="55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56"/>
      <c r="U958" s="56"/>
      <c r="V958" s="56"/>
    </row>
    <row r="959" spans="1:22" ht="19.5" customHeight="1">
      <c r="A959" s="54"/>
      <c r="B959" s="55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56"/>
      <c r="U959" s="56"/>
      <c r="V959" s="56"/>
    </row>
  </sheetData>
  <mergeCells count="1">
    <mergeCell ref="C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>
          <x14:formula1>
            <xm:f>'Attendance key'!$B$7:$B$16</xm:f>
          </x14:formula1>
          <xm:sqref>C4:F7 I4:R7 C8:R9 C10:F10 H10:R10 C11:R15 C16:G16 I16:R16 C17:R68 C69:F70 H69:R70 C71:R71 H72:R72 C72:F74 I73:R74 C75:R959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57"/>
  <sheetViews>
    <sheetView showGridLines="0" workbookViewId="0">
      <pane xSplit="3" ySplit="1" topLeftCell="D2" activePane="bottomRight" state="frozen"/>
      <selection pane="topRight" activeCell="C1" sqref="C1"/>
      <selection pane="bottomLeft" activeCell="A4" sqref="A4"/>
      <selection pane="bottomRight" activeCell="G12" sqref="G12"/>
    </sheetView>
  </sheetViews>
  <sheetFormatPr defaultColWidth="12.5703125" defaultRowHeight="15.75" customHeight="1"/>
  <cols>
    <col min="1" max="2" width="12.5703125" customWidth="1"/>
    <col min="3" max="5" width="11.140625" customWidth="1"/>
    <col min="6" max="7" width="13.28515625" bestFit="1" customWidth="1"/>
    <col min="8" max="8" width="14.28515625" bestFit="1" customWidth="1"/>
    <col min="9" max="9" width="14" bestFit="1" customWidth="1"/>
    <col min="10" max="10" width="14.28515625" bestFit="1" customWidth="1"/>
    <col min="11" max="11" width="12.5703125" bestFit="1" customWidth="1"/>
    <col min="12" max="13" width="13.5703125" bestFit="1" customWidth="1"/>
    <col min="14" max="14" width="13.7109375" bestFit="1" customWidth="1"/>
    <col min="15" max="15" width="12.28515625" bestFit="1" customWidth="1"/>
    <col min="16" max="16" width="22" bestFit="1" customWidth="1"/>
    <col min="17" max="17" width="24.5703125" bestFit="1" customWidth="1"/>
    <col min="19" max="19" width="29.85546875" style="97" bestFit="1" customWidth="1"/>
    <col min="20" max="20" width="20.7109375" bestFit="1" customWidth="1"/>
  </cols>
  <sheetData>
    <row r="1" spans="1:20" s="70" customFormat="1" ht="18" customHeight="1">
      <c r="A1" s="66" t="s">
        <v>23</v>
      </c>
      <c r="B1" s="66" t="s">
        <v>105</v>
      </c>
      <c r="C1" s="66" t="s">
        <v>24</v>
      </c>
      <c r="D1" s="67" t="s">
        <v>25</v>
      </c>
      <c r="E1" s="67" t="s">
        <v>26</v>
      </c>
      <c r="F1" s="67" t="s">
        <v>27</v>
      </c>
      <c r="G1" s="67" t="s">
        <v>28</v>
      </c>
      <c r="H1" s="67" t="s">
        <v>29</v>
      </c>
      <c r="I1" s="67" t="s">
        <v>30</v>
      </c>
      <c r="J1" s="67" t="s">
        <v>31</v>
      </c>
      <c r="K1" s="67" t="s">
        <v>32</v>
      </c>
      <c r="L1" s="67" t="s">
        <v>33</v>
      </c>
      <c r="M1" s="67" t="s">
        <v>34</v>
      </c>
      <c r="N1" s="67" t="s">
        <v>17</v>
      </c>
      <c r="O1" s="68" t="s">
        <v>7</v>
      </c>
      <c r="P1" s="68" t="s">
        <v>35</v>
      </c>
      <c r="Q1" s="69" t="s">
        <v>36</v>
      </c>
      <c r="R1" s="172" t="s">
        <v>129</v>
      </c>
      <c r="S1" s="179" t="s">
        <v>132</v>
      </c>
      <c r="T1" s="172" t="s">
        <v>147</v>
      </c>
    </row>
    <row r="2" spans="1:20" ht="19.5" customHeight="1">
      <c r="A2" s="73" t="s">
        <v>76</v>
      </c>
      <c r="B2" s="73" t="s">
        <v>106</v>
      </c>
      <c r="C2" s="72" t="s">
        <v>4</v>
      </c>
      <c r="D2" s="72" t="s">
        <v>4</v>
      </c>
      <c r="E2" s="72" t="s">
        <v>10</v>
      </c>
      <c r="F2" s="72" t="s">
        <v>4</v>
      </c>
      <c r="G2" s="72" t="s">
        <v>4</v>
      </c>
      <c r="H2" s="72" t="s">
        <v>4</v>
      </c>
      <c r="I2" s="72" t="s">
        <v>4</v>
      </c>
      <c r="J2" s="72" t="s">
        <v>4</v>
      </c>
      <c r="K2" s="72" t="s">
        <v>4</v>
      </c>
      <c r="L2" s="72" t="s">
        <v>10</v>
      </c>
      <c r="M2" s="72" t="s">
        <v>4</v>
      </c>
      <c r="N2" s="74" t="s">
        <v>13</v>
      </c>
      <c r="O2" s="75">
        <v>0</v>
      </c>
      <c r="P2" s="75">
        <v>0</v>
      </c>
      <c r="Q2" s="75">
        <v>1000</v>
      </c>
      <c r="R2" s="171">
        <f>Table4[[#This Row],[Late]]+Table4[[#This Row],[Excused Absence]]+Table4[[#This Row],[Unexcused Absence]]</f>
        <v>1000</v>
      </c>
      <c r="S2" s="178">
        <v>2</v>
      </c>
      <c r="T2" s="171" t="s">
        <v>149</v>
      </c>
    </row>
    <row r="3" spans="1:20" ht="19.5" customHeight="1">
      <c r="A3" s="76" t="s">
        <v>67</v>
      </c>
      <c r="B3" s="76" t="s">
        <v>106</v>
      </c>
      <c r="C3" s="71" t="s">
        <v>4</v>
      </c>
      <c r="D3" s="71" t="s">
        <v>4</v>
      </c>
      <c r="E3" s="71" t="s">
        <v>4</v>
      </c>
      <c r="F3" s="71" t="s">
        <v>4</v>
      </c>
      <c r="G3" s="71" t="s">
        <v>4</v>
      </c>
      <c r="H3" s="71" t="s">
        <v>4</v>
      </c>
      <c r="I3" s="71" t="s">
        <v>4</v>
      </c>
      <c r="J3" s="71" t="s">
        <v>4</v>
      </c>
      <c r="K3" s="71" t="s">
        <v>8</v>
      </c>
      <c r="L3" s="71" t="s">
        <v>4</v>
      </c>
      <c r="M3" s="71" t="s">
        <v>4</v>
      </c>
      <c r="N3" s="77" t="s">
        <v>16</v>
      </c>
      <c r="O3" s="78">
        <v>0</v>
      </c>
      <c r="P3" s="78">
        <v>0</v>
      </c>
      <c r="Q3" s="78">
        <v>0</v>
      </c>
      <c r="R3" s="171">
        <f>Table4[[#This Row],[Late]]+Table4[[#This Row],[Excused Absence]]+Table4[[#This Row],[Unexcused Absence]]</f>
        <v>0</v>
      </c>
      <c r="S3" s="178">
        <v>0</v>
      </c>
      <c r="T3" s="171" t="s">
        <v>148</v>
      </c>
    </row>
    <row r="4" spans="1:20" ht="19.5" customHeight="1">
      <c r="A4" s="73" t="s">
        <v>40</v>
      </c>
      <c r="B4" s="73" t="s">
        <v>107</v>
      </c>
      <c r="C4" s="79" t="s">
        <v>4</v>
      </c>
      <c r="D4" s="79" t="s">
        <v>4</v>
      </c>
      <c r="E4" s="79" t="s">
        <v>4</v>
      </c>
      <c r="F4" s="79" t="s">
        <v>4</v>
      </c>
      <c r="G4" s="80" t="s">
        <v>4</v>
      </c>
      <c r="H4" s="79" t="s">
        <v>4</v>
      </c>
      <c r="I4" s="79" t="s">
        <v>4</v>
      </c>
      <c r="J4" s="79" t="s">
        <v>4</v>
      </c>
      <c r="K4" s="79" t="s">
        <v>10</v>
      </c>
      <c r="L4" s="79" t="s">
        <v>10</v>
      </c>
      <c r="M4" s="79" t="s">
        <v>8</v>
      </c>
      <c r="N4" s="81" t="s">
        <v>12</v>
      </c>
      <c r="O4" s="82">
        <v>0</v>
      </c>
      <c r="P4" s="82">
        <v>0</v>
      </c>
      <c r="Q4" s="82">
        <v>1000</v>
      </c>
      <c r="R4" s="171">
        <f>Table4[[#This Row],[Late]]+Table4[[#This Row],[Excused Absence]]+Table4[[#This Row],[Unexcused Absence]]</f>
        <v>1000</v>
      </c>
      <c r="S4" s="178">
        <v>2</v>
      </c>
      <c r="T4" s="171" t="s">
        <v>149</v>
      </c>
    </row>
    <row r="5" spans="1:20" ht="19.5" customHeight="1">
      <c r="A5" s="73" t="s">
        <v>52</v>
      </c>
      <c r="B5" s="73" t="s">
        <v>107</v>
      </c>
      <c r="C5" s="72" t="s">
        <v>10</v>
      </c>
      <c r="D5" s="72" t="s">
        <v>8</v>
      </c>
      <c r="E5" s="72" t="s">
        <v>10</v>
      </c>
      <c r="F5" s="72" t="s">
        <v>10</v>
      </c>
      <c r="G5" s="72" t="s">
        <v>4</v>
      </c>
      <c r="H5" s="72" t="s">
        <v>4</v>
      </c>
      <c r="I5" s="72" t="s">
        <v>4</v>
      </c>
      <c r="J5" s="72" t="s">
        <v>4</v>
      </c>
      <c r="K5" s="72" t="s">
        <v>4</v>
      </c>
      <c r="L5" s="72" t="s">
        <v>6</v>
      </c>
      <c r="M5" s="72" t="s">
        <v>10</v>
      </c>
      <c r="N5" s="81" t="s">
        <v>12</v>
      </c>
      <c r="O5" s="75">
        <v>300</v>
      </c>
      <c r="P5" s="75">
        <v>0</v>
      </c>
      <c r="Q5" s="75">
        <v>2000</v>
      </c>
      <c r="R5" s="171">
        <f>Table4[[#This Row],[Late]]+Table4[[#This Row],[Excused Absence]]+Table4[[#This Row],[Unexcused Absence]]</f>
        <v>2300</v>
      </c>
      <c r="S5" s="178">
        <v>4</v>
      </c>
      <c r="T5" s="171" t="s">
        <v>149</v>
      </c>
    </row>
    <row r="6" spans="1:20" ht="19.5" customHeight="1">
      <c r="A6" s="73" t="s">
        <v>114</v>
      </c>
      <c r="B6" s="73" t="s">
        <v>107</v>
      </c>
      <c r="C6" s="79" t="s">
        <v>10</v>
      </c>
      <c r="D6" s="79" t="s">
        <v>10</v>
      </c>
      <c r="E6" s="79" t="s">
        <v>4</v>
      </c>
      <c r="F6" s="79" t="s">
        <v>10</v>
      </c>
      <c r="G6" s="79" t="s">
        <v>10</v>
      </c>
      <c r="H6" s="79" t="s">
        <v>10</v>
      </c>
      <c r="I6" s="79" t="s">
        <v>4</v>
      </c>
      <c r="J6" s="79" t="s">
        <v>10</v>
      </c>
      <c r="K6" s="79" t="s">
        <v>4</v>
      </c>
      <c r="L6" s="79" t="s">
        <v>4</v>
      </c>
      <c r="M6" s="79" t="s">
        <v>8</v>
      </c>
      <c r="N6" s="81" t="s">
        <v>12</v>
      </c>
      <c r="O6" s="82">
        <v>0</v>
      </c>
      <c r="P6" s="82">
        <v>0</v>
      </c>
      <c r="Q6" s="82">
        <v>3000</v>
      </c>
      <c r="R6" s="171">
        <f>Table4[[#This Row],[Late]]+Table4[[#This Row],[Excused Absence]]+Table4[[#This Row],[Unexcused Absence]]</f>
        <v>3000</v>
      </c>
      <c r="S6" s="178">
        <v>6</v>
      </c>
      <c r="T6" s="171" t="s">
        <v>149</v>
      </c>
    </row>
    <row r="7" spans="1:20" ht="19.5" customHeight="1">
      <c r="A7" s="76" t="s">
        <v>45</v>
      </c>
      <c r="B7" s="76" t="s">
        <v>107</v>
      </c>
      <c r="C7" s="71" t="s">
        <v>4</v>
      </c>
      <c r="D7" s="71" t="s">
        <v>4</v>
      </c>
      <c r="E7" s="71" t="s">
        <v>6</v>
      </c>
      <c r="F7" s="71" t="s">
        <v>6</v>
      </c>
      <c r="G7" s="71" t="s">
        <v>6</v>
      </c>
      <c r="H7" s="71" t="s">
        <v>6</v>
      </c>
      <c r="I7" s="71" t="s">
        <v>4</v>
      </c>
      <c r="J7" s="71" t="s">
        <v>6</v>
      </c>
      <c r="K7" s="71" t="s">
        <v>8</v>
      </c>
      <c r="L7" s="71" t="s">
        <v>4</v>
      </c>
      <c r="M7" s="71" t="s">
        <v>4</v>
      </c>
      <c r="N7" s="81" t="s">
        <v>12</v>
      </c>
      <c r="O7" s="78">
        <v>1500</v>
      </c>
      <c r="P7" s="78">
        <v>0</v>
      </c>
      <c r="Q7" s="78">
        <v>0</v>
      </c>
      <c r="R7" s="171">
        <f>Table4[[#This Row],[Late]]+Table4[[#This Row],[Excused Absence]]+Table4[[#This Row],[Unexcused Absence]]</f>
        <v>1500</v>
      </c>
      <c r="S7" s="178">
        <v>0</v>
      </c>
      <c r="T7" s="171" t="s">
        <v>148</v>
      </c>
    </row>
    <row r="8" spans="1:20" ht="19.5" customHeight="1">
      <c r="A8" s="76" t="s">
        <v>83</v>
      </c>
      <c r="B8" s="76" t="s">
        <v>106</v>
      </c>
      <c r="C8" s="79" t="s">
        <v>4</v>
      </c>
      <c r="D8" s="79" t="s">
        <v>4</v>
      </c>
      <c r="E8" s="79" t="s">
        <v>4</v>
      </c>
      <c r="F8" s="79" t="s">
        <v>4</v>
      </c>
      <c r="G8" s="79" t="s">
        <v>8</v>
      </c>
      <c r="H8" s="79" t="s">
        <v>4</v>
      </c>
      <c r="I8" s="79" t="s">
        <v>4</v>
      </c>
      <c r="J8" s="79" t="s">
        <v>4</v>
      </c>
      <c r="K8" s="79" t="s">
        <v>4</v>
      </c>
      <c r="L8" s="79" t="s">
        <v>4</v>
      </c>
      <c r="M8" s="79" t="s">
        <v>4</v>
      </c>
      <c r="N8" s="77" t="s">
        <v>16</v>
      </c>
      <c r="O8" s="82">
        <v>0</v>
      </c>
      <c r="P8" s="82">
        <v>0</v>
      </c>
      <c r="Q8" s="82">
        <v>0</v>
      </c>
      <c r="R8" s="171">
        <f>Table4[[#This Row],[Late]]+Table4[[#This Row],[Excused Absence]]+Table4[[#This Row],[Unexcused Absence]]</f>
        <v>0</v>
      </c>
      <c r="S8" s="178">
        <v>0</v>
      </c>
      <c r="T8" s="171" t="s">
        <v>148</v>
      </c>
    </row>
    <row r="9" spans="1:20" ht="19.5" customHeight="1">
      <c r="A9" s="73" t="s">
        <v>94</v>
      </c>
      <c r="B9" s="73" t="s">
        <v>106</v>
      </c>
      <c r="C9" s="72" t="s">
        <v>4</v>
      </c>
      <c r="D9" s="72" t="s">
        <v>4</v>
      </c>
      <c r="E9" s="72" t="s">
        <v>4</v>
      </c>
      <c r="F9" s="72" t="s">
        <v>4</v>
      </c>
      <c r="G9" s="72" t="s">
        <v>10</v>
      </c>
      <c r="H9" s="72" t="s">
        <v>4</v>
      </c>
      <c r="I9" s="72" t="s">
        <v>4</v>
      </c>
      <c r="J9" s="72" t="s">
        <v>10</v>
      </c>
      <c r="K9" s="72" t="s">
        <v>4</v>
      </c>
      <c r="L9" s="72" t="s">
        <v>4</v>
      </c>
      <c r="M9" s="72" t="s">
        <v>4</v>
      </c>
      <c r="N9" s="74" t="s">
        <v>13</v>
      </c>
      <c r="O9" s="75">
        <v>0</v>
      </c>
      <c r="P9" s="75">
        <v>0</v>
      </c>
      <c r="Q9" s="75">
        <v>1000</v>
      </c>
      <c r="R9" s="171">
        <f>Table4[[#This Row],[Late]]+Table4[[#This Row],[Excused Absence]]+Table4[[#This Row],[Unexcused Absence]]</f>
        <v>1000</v>
      </c>
      <c r="S9" s="178">
        <v>2</v>
      </c>
      <c r="T9" s="171" t="s">
        <v>149</v>
      </c>
    </row>
    <row r="10" spans="1:20" ht="19.5" customHeight="1">
      <c r="A10" s="83" t="s">
        <v>81</v>
      </c>
      <c r="B10" s="83" t="s">
        <v>107</v>
      </c>
      <c r="C10" s="71" t="s">
        <v>4</v>
      </c>
      <c r="D10" s="71" t="s">
        <v>4</v>
      </c>
      <c r="E10" s="71" t="s">
        <v>4</v>
      </c>
      <c r="F10" s="71" t="s">
        <v>4</v>
      </c>
      <c r="G10" s="71" t="s">
        <v>4</v>
      </c>
      <c r="H10" s="71" t="s">
        <v>4</v>
      </c>
      <c r="I10" s="71" t="s">
        <v>4</v>
      </c>
      <c r="J10" s="71" t="s">
        <v>4</v>
      </c>
      <c r="K10" s="71" t="s">
        <v>4</v>
      </c>
      <c r="L10" s="71" t="s">
        <v>4</v>
      </c>
      <c r="M10" s="71" t="s">
        <v>4</v>
      </c>
      <c r="N10" s="77" t="s">
        <v>16</v>
      </c>
      <c r="O10" s="78">
        <v>0</v>
      </c>
      <c r="P10" s="78">
        <v>0</v>
      </c>
      <c r="Q10" s="78">
        <v>0</v>
      </c>
      <c r="R10" s="171">
        <f>Table4[[#This Row],[Late]]+Table4[[#This Row],[Excused Absence]]+Table4[[#This Row],[Unexcused Absence]]</f>
        <v>0</v>
      </c>
      <c r="S10" s="178">
        <v>0</v>
      </c>
      <c r="T10" s="171" t="s">
        <v>148</v>
      </c>
    </row>
    <row r="11" spans="1:20" ht="19.5" customHeight="1">
      <c r="A11" s="73" t="s">
        <v>46</v>
      </c>
      <c r="B11" s="73" t="s">
        <v>107</v>
      </c>
      <c r="C11" s="79" t="s">
        <v>10</v>
      </c>
      <c r="D11" s="79" t="s">
        <v>10</v>
      </c>
      <c r="E11" s="79" t="s">
        <v>4</v>
      </c>
      <c r="F11" s="79" t="s">
        <v>4</v>
      </c>
      <c r="G11" s="79" t="s">
        <v>4</v>
      </c>
      <c r="H11" s="79" t="s">
        <v>8</v>
      </c>
      <c r="I11" s="79" t="s">
        <v>4</v>
      </c>
      <c r="J11" s="79" t="s">
        <v>4</v>
      </c>
      <c r="K11" s="79" t="s">
        <v>4</v>
      </c>
      <c r="L11" s="79" t="s">
        <v>4</v>
      </c>
      <c r="M11" s="79" t="s">
        <v>10</v>
      </c>
      <c r="N11" s="81" t="s">
        <v>12</v>
      </c>
      <c r="O11" s="82">
        <v>0</v>
      </c>
      <c r="P11" s="82">
        <v>0</v>
      </c>
      <c r="Q11" s="82">
        <v>1500</v>
      </c>
      <c r="R11" s="171">
        <f>Table4[[#This Row],[Late]]+Table4[[#This Row],[Excused Absence]]+Table4[[#This Row],[Unexcused Absence]]</f>
        <v>1500</v>
      </c>
      <c r="S11" s="178">
        <v>3</v>
      </c>
      <c r="T11" s="171" t="s">
        <v>149</v>
      </c>
    </row>
    <row r="12" spans="1:20" ht="19.5" customHeight="1">
      <c r="A12" s="73" t="s">
        <v>80</v>
      </c>
      <c r="B12" s="73" t="s">
        <v>106</v>
      </c>
      <c r="C12" s="72" t="s">
        <v>4</v>
      </c>
      <c r="D12" s="72" t="s">
        <v>4</v>
      </c>
      <c r="E12" s="72" t="s">
        <v>4</v>
      </c>
      <c r="F12" s="72" t="s">
        <v>4</v>
      </c>
      <c r="G12" s="72" t="s">
        <v>4</v>
      </c>
      <c r="H12" s="72" t="s">
        <v>4</v>
      </c>
      <c r="I12" s="72" t="s">
        <v>4</v>
      </c>
      <c r="J12" s="72" t="s">
        <v>4</v>
      </c>
      <c r="K12" s="72" t="s">
        <v>4</v>
      </c>
      <c r="L12" s="72" t="s">
        <v>4</v>
      </c>
      <c r="M12" s="72" t="s">
        <v>4</v>
      </c>
      <c r="N12" s="77" t="s">
        <v>16</v>
      </c>
      <c r="O12" s="75">
        <v>0</v>
      </c>
      <c r="P12" s="75">
        <v>0</v>
      </c>
      <c r="Q12" s="75">
        <v>0</v>
      </c>
      <c r="R12" s="171">
        <f>Table4[[#This Row],[Late]]+Table4[[#This Row],[Excused Absence]]+Table4[[#This Row],[Unexcused Absence]]</f>
        <v>0</v>
      </c>
      <c r="S12" s="178">
        <v>0</v>
      </c>
      <c r="T12" s="171" t="s">
        <v>148</v>
      </c>
    </row>
    <row r="13" spans="1:20" ht="19.5" customHeight="1">
      <c r="A13" s="76" t="s">
        <v>59</v>
      </c>
      <c r="B13" s="76" t="s">
        <v>107</v>
      </c>
      <c r="C13" s="71" t="s">
        <v>4</v>
      </c>
      <c r="D13" s="71" t="s">
        <v>10</v>
      </c>
      <c r="E13" s="71" t="s">
        <v>4</v>
      </c>
      <c r="F13" s="71" t="s">
        <v>4</v>
      </c>
      <c r="G13" s="71" t="s">
        <v>4</v>
      </c>
      <c r="H13" s="71" t="s">
        <v>6</v>
      </c>
      <c r="I13" s="71" t="s">
        <v>4</v>
      </c>
      <c r="J13" s="71" t="s">
        <v>10</v>
      </c>
      <c r="K13" s="71" t="s">
        <v>4</v>
      </c>
      <c r="L13" s="71" t="s">
        <v>4</v>
      </c>
      <c r="M13" s="71" t="s">
        <v>6</v>
      </c>
      <c r="N13" s="74" t="s">
        <v>13</v>
      </c>
      <c r="O13" s="78">
        <v>600</v>
      </c>
      <c r="P13" s="78">
        <v>0</v>
      </c>
      <c r="Q13" s="78">
        <v>500</v>
      </c>
      <c r="R13" s="171">
        <f>Table4[[#This Row],[Late]]+Table4[[#This Row],[Excused Absence]]+Table4[[#This Row],[Unexcused Absence]]</f>
        <v>1100</v>
      </c>
      <c r="S13" s="178">
        <v>1</v>
      </c>
      <c r="T13" s="171" t="s">
        <v>149</v>
      </c>
    </row>
    <row r="14" spans="1:20" ht="19.5" customHeight="1">
      <c r="A14" s="76" t="s">
        <v>42</v>
      </c>
      <c r="B14" s="76" t="s">
        <v>107</v>
      </c>
      <c r="C14" s="79" t="s">
        <v>4</v>
      </c>
      <c r="D14" s="79" t="s">
        <v>4</v>
      </c>
      <c r="E14" s="79" t="s">
        <v>4</v>
      </c>
      <c r="F14" s="79" t="s">
        <v>4</v>
      </c>
      <c r="G14" s="79" t="s">
        <v>4</v>
      </c>
      <c r="H14" s="79" t="s">
        <v>4</v>
      </c>
      <c r="I14" s="79" t="s">
        <v>4</v>
      </c>
      <c r="J14" s="79" t="s">
        <v>4</v>
      </c>
      <c r="K14" s="79" t="s">
        <v>4</v>
      </c>
      <c r="L14" s="79" t="s">
        <v>4</v>
      </c>
      <c r="M14" s="79" t="s">
        <v>4</v>
      </c>
      <c r="N14" s="77" t="s">
        <v>16</v>
      </c>
      <c r="O14" s="82">
        <v>0</v>
      </c>
      <c r="P14" s="82">
        <v>0</v>
      </c>
      <c r="Q14" s="82">
        <v>0</v>
      </c>
      <c r="R14" s="171">
        <f>Table4[[#This Row],[Late]]+Table4[[#This Row],[Excused Absence]]+Table4[[#This Row],[Unexcused Absence]]</f>
        <v>0</v>
      </c>
      <c r="S14" s="178">
        <v>0</v>
      </c>
      <c r="T14" s="171" t="s">
        <v>148</v>
      </c>
    </row>
    <row r="15" spans="1:20" ht="19.5" customHeight="1">
      <c r="A15" s="84" t="s">
        <v>115</v>
      </c>
      <c r="B15" s="84" t="s">
        <v>107</v>
      </c>
      <c r="C15" s="72" t="s">
        <v>4</v>
      </c>
      <c r="D15" s="72" t="s">
        <v>4</v>
      </c>
      <c r="E15" s="72" t="s">
        <v>10</v>
      </c>
      <c r="F15" s="72" t="s">
        <v>10</v>
      </c>
      <c r="G15" s="72" t="s">
        <v>4</v>
      </c>
      <c r="H15" s="72" t="s">
        <v>4</v>
      </c>
      <c r="I15" s="72" t="s">
        <v>4</v>
      </c>
      <c r="J15" s="72" t="s">
        <v>4</v>
      </c>
      <c r="K15" s="72" t="s">
        <v>4</v>
      </c>
      <c r="L15" s="72" t="s">
        <v>4</v>
      </c>
      <c r="M15" s="72" t="s">
        <v>4</v>
      </c>
      <c r="N15" s="74" t="s">
        <v>13</v>
      </c>
      <c r="O15" s="75">
        <v>0</v>
      </c>
      <c r="P15" s="75">
        <v>0</v>
      </c>
      <c r="Q15" s="75">
        <v>1000</v>
      </c>
      <c r="R15" s="171">
        <f>Table4[[#This Row],[Late]]+Table4[[#This Row],[Excused Absence]]+Table4[[#This Row],[Unexcused Absence]]</f>
        <v>1000</v>
      </c>
      <c r="S15" s="178">
        <v>2</v>
      </c>
      <c r="T15" s="171" t="s">
        <v>149</v>
      </c>
    </row>
    <row r="16" spans="1:20" ht="19.5" customHeight="1">
      <c r="A16" s="76" t="s">
        <v>92</v>
      </c>
      <c r="B16" s="76" t="s">
        <v>106</v>
      </c>
      <c r="C16" s="79" t="s">
        <v>4</v>
      </c>
      <c r="D16" s="79" t="s">
        <v>4</v>
      </c>
      <c r="E16" s="79" t="s">
        <v>4</v>
      </c>
      <c r="F16" s="79" t="s">
        <v>4</v>
      </c>
      <c r="G16" s="79" t="s">
        <v>4</v>
      </c>
      <c r="H16" s="79" t="s">
        <v>4</v>
      </c>
      <c r="I16" s="79" t="s">
        <v>4</v>
      </c>
      <c r="J16" s="79" t="s">
        <v>4</v>
      </c>
      <c r="K16" s="79" t="s">
        <v>4</v>
      </c>
      <c r="L16" s="79" t="s">
        <v>4</v>
      </c>
      <c r="M16" s="79" t="s">
        <v>4</v>
      </c>
      <c r="N16" s="77" t="s">
        <v>16</v>
      </c>
      <c r="O16" s="82">
        <v>0</v>
      </c>
      <c r="P16" s="82">
        <v>0</v>
      </c>
      <c r="Q16" s="82">
        <v>0</v>
      </c>
      <c r="R16" s="171">
        <f>Table4[[#This Row],[Late]]+Table4[[#This Row],[Excused Absence]]+Table4[[#This Row],[Unexcused Absence]]</f>
        <v>0</v>
      </c>
      <c r="S16" s="178">
        <v>0</v>
      </c>
      <c r="T16" s="171" t="s">
        <v>148</v>
      </c>
    </row>
    <row r="17" spans="1:20" ht="19.5" customHeight="1">
      <c r="A17" s="73" t="s">
        <v>50</v>
      </c>
      <c r="B17" s="73" t="s">
        <v>107</v>
      </c>
      <c r="C17" s="79" t="s">
        <v>4</v>
      </c>
      <c r="D17" s="79" t="s">
        <v>4</v>
      </c>
      <c r="E17" s="79" t="s">
        <v>4</v>
      </c>
      <c r="F17" s="79" t="s">
        <v>4</v>
      </c>
      <c r="G17" s="79" t="s">
        <v>4</v>
      </c>
      <c r="H17" s="79" t="s">
        <v>4</v>
      </c>
      <c r="I17" s="79" t="s">
        <v>4</v>
      </c>
      <c r="J17" s="79" t="s">
        <v>6</v>
      </c>
      <c r="K17" s="79" t="s">
        <v>4</v>
      </c>
      <c r="L17" s="79" t="s">
        <v>4</v>
      </c>
      <c r="M17" s="79" t="s">
        <v>4</v>
      </c>
      <c r="N17" s="74" t="s">
        <v>13</v>
      </c>
      <c r="O17" s="82">
        <v>300</v>
      </c>
      <c r="P17" s="82">
        <v>0</v>
      </c>
      <c r="Q17" s="82">
        <v>0</v>
      </c>
      <c r="R17" s="171">
        <f>Table4[[#This Row],[Late]]+Table4[[#This Row],[Excused Absence]]+Table4[[#This Row],[Unexcused Absence]]</f>
        <v>300</v>
      </c>
      <c r="S17" s="178">
        <v>0</v>
      </c>
      <c r="T17" s="171" t="s">
        <v>148</v>
      </c>
    </row>
    <row r="18" spans="1:20" ht="19.5" customHeight="1">
      <c r="A18" s="73" t="s">
        <v>78</v>
      </c>
      <c r="B18" s="73" t="s">
        <v>106</v>
      </c>
      <c r="C18" s="72" t="s">
        <v>4</v>
      </c>
      <c r="D18" s="72" t="s">
        <v>4</v>
      </c>
      <c r="E18" s="72" t="s">
        <v>4</v>
      </c>
      <c r="F18" s="72" t="s">
        <v>4</v>
      </c>
      <c r="G18" s="72" t="s">
        <v>4</v>
      </c>
      <c r="H18" s="72" t="s">
        <v>4</v>
      </c>
      <c r="I18" s="72" t="s">
        <v>4</v>
      </c>
      <c r="J18" s="72" t="s">
        <v>4</v>
      </c>
      <c r="K18" s="72" t="s">
        <v>4</v>
      </c>
      <c r="L18" s="72" t="s">
        <v>4</v>
      </c>
      <c r="M18" s="72" t="s">
        <v>4</v>
      </c>
      <c r="N18" s="77" t="s">
        <v>16</v>
      </c>
      <c r="O18" s="75">
        <v>0</v>
      </c>
      <c r="P18" s="75">
        <v>0</v>
      </c>
      <c r="Q18" s="75">
        <v>0</v>
      </c>
      <c r="R18" s="171">
        <f>Table4[[#This Row],[Late]]+Table4[[#This Row],[Excused Absence]]+Table4[[#This Row],[Unexcused Absence]]</f>
        <v>0</v>
      </c>
      <c r="S18" s="178">
        <v>0</v>
      </c>
      <c r="T18" s="171" t="s">
        <v>148</v>
      </c>
    </row>
    <row r="19" spans="1:20" ht="19.5" customHeight="1">
      <c r="A19" s="76" t="s">
        <v>57</v>
      </c>
      <c r="B19" s="76" t="s">
        <v>106</v>
      </c>
      <c r="C19" s="71" t="s">
        <v>4</v>
      </c>
      <c r="D19" s="71" t="s">
        <v>4</v>
      </c>
      <c r="E19" s="71" t="s">
        <v>4</v>
      </c>
      <c r="F19" s="71" t="s">
        <v>4</v>
      </c>
      <c r="G19" s="71" t="s">
        <v>4</v>
      </c>
      <c r="H19" s="71" t="s">
        <v>4</v>
      </c>
      <c r="I19" s="71" t="s">
        <v>4</v>
      </c>
      <c r="J19" s="71" t="s">
        <v>4</v>
      </c>
      <c r="K19" s="71" t="s">
        <v>4</v>
      </c>
      <c r="L19" s="71" t="s">
        <v>4</v>
      </c>
      <c r="M19" s="71" t="s">
        <v>4</v>
      </c>
      <c r="N19" s="77" t="s">
        <v>16</v>
      </c>
      <c r="O19" s="78">
        <v>0</v>
      </c>
      <c r="P19" s="78">
        <v>0</v>
      </c>
      <c r="Q19" s="78">
        <v>0</v>
      </c>
      <c r="R19" s="171">
        <f>Table4[[#This Row],[Late]]+Table4[[#This Row],[Excused Absence]]+Table4[[#This Row],[Unexcused Absence]]</f>
        <v>0</v>
      </c>
      <c r="S19" s="178">
        <v>0</v>
      </c>
      <c r="T19" s="171" t="s">
        <v>148</v>
      </c>
    </row>
    <row r="20" spans="1:20" ht="19.5" customHeight="1">
      <c r="A20" s="84" t="s">
        <v>61</v>
      </c>
      <c r="B20" s="84" t="s">
        <v>106</v>
      </c>
      <c r="C20" s="72" t="s">
        <v>4</v>
      </c>
      <c r="D20" s="72" t="s">
        <v>10</v>
      </c>
      <c r="E20" s="72" t="s">
        <v>10</v>
      </c>
      <c r="F20" s="72" t="s">
        <v>4</v>
      </c>
      <c r="G20" s="72" t="s">
        <v>6</v>
      </c>
      <c r="H20" s="72" t="s">
        <v>6</v>
      </c>
      <c r="I20" s="72" t="s">
        <v>6</v>
      </c>
      <c r="J20" s="72" t="s">
        <v>10</v>
      </c>
      <c r="K20" s="72" t="s">
        <v>6</v>
      </c>
      <c r="L20" s="72" t="s">
        <v>8</v>
      </c>
      <c r="M20" s="72" t="s">
        <v>4</v>
      </c>
      <c r="N20" s="81" t="s">
        <v>12</v>
      </c>
      <c r="O20" s="75">
        <v>1200</v>
      </c>
      <c r="P20" s="75">
        <v>0</v>
      </c>
      <c r="Q20" s="75">
        <v>1500</v>
      </c>
      <c r="R20" s="171">
        <f>Table4[[#This Row],[Late]]+Table4[[#This Row],[Excused Absence]]+Table4[[#This Row],[Unexcused Absence]]</f>
        <v>2700</v>
      </c>
      <c r="S20" s="178">
        <v>3</v>
      </c>
      <c r="T20" s="171" t="s">
        <v>149</v>
      </c>
    </row>
    <row r="21" spans="1:20" ht="19.5" customHeight="1">
      <c r="A21" s="73" t="s">
        <v>54</v>
      </c>
      <c r="B21" s="73" t="s">
        <v>106</v>
      </c>
      <c r="C21" s="72" t="s">
        <v>4</v>
      </c>
      <c r="D21" s="72" t="s">
        <v>6</v>
      </c>
      <c r="E21" s="72" t="s">
        <v>10</v>
      </c>
      <c r="F21" s="72" t="s">
        <v>8</v>
      </c>
      <c r="G21" s="72" t="s">
        <v>4</v>
      </c>
      <c r="H21" s="72" t="s">
        <v>4</v>
      </c>
      <c r="I21" s="72" t="s">
        <v>10</v>
      </c>
      <c r="J21" s="72" t="s">
        <v>4</v>
      </c>
      <c r="K21" s="72" t="s">
        <v>10</v>
      </c>
      <c r="L21" s="72" t="s">
        <v>4</v>
      </c>
      <c r="M21" s="72" t="s">
        <v>4</v>
      </c>
      <c r="N21" s="81" t="s">
        <v>12</v>
      </c>
      <c r="O21" s="75">
        <v>300</v>
      </c>
      <c r="P21" s="75">
        <v>0</v>
      </c>
      <c r="Q21" s="75">
        <v>1500</v>
      </c>
      <c r="R21" s="171">
        <f>Table4[[#This Row],[Late]]+Table4[[#This Row],[Excused Absence]]+Table4[[#This Row],[Unexcused Absence]]</f>
        <v>1800</v>
      </c>
      <c r="S21" s="178">
        <v>3</v>
      </c>
      <c r="T21" s="171" t="s">
        <v>149</v>
      </c>
    </row>
    <row r="22" spans="1:20" ht="19.5" customHeight="1">
      <c r="A22" s="76" t="s">
        <v>116</v>
      </c>
      <c r="B22" s="76" t="s">
        <v>106</v>
      </c>
      <c r="C22" s="79" t="s">
        <v>4</v>
      </c>
      <c r="D22" s="79" t="s">
        <v>4</v>
      </c>
      <c r="E22" s="79" t="s">
        <v>4</v>
      </c>
      <c r="F22" s="79" t="s">
        <v>4</v>
      </c>
      <c r="G22" s="79" t="s">
        <v>4</v>
      </c>
      <c r="H22" s="79" t="s">
        <v>4</v>
      </c>
      <c r="I22" s="79" t="s">
        <v>4</v>
      </c>
      <c r="J22" s="79" t="s">
        <v>4</v>
      </c>
      <c r="K22" s="79" t="s">
        <v>4</v>
      </c>
      <c r="L22" s="79" t="s">
        <v>4</v>
      </c>
      <c r="M22" s="79" t="s">
        <v>4</v>
      </c>
      <c r="N22" s="77" t="s">
        <v>16</v>
      </c>
      <c r="O22" s="82">
        <v>0</v>
      </c>
      <c r="P22" s="82">
        <v>0</v>
      </c>
      <c r="Q22" s="82">
        <v>0</v>
      </c>
      <c r="R22" s="171">
        <f>Table4[[#This Row],[Late]]+Table4[[#This Row],[Excused Absence]]+Table4[[#This Row],[Unexcused Absence]]</f>
        <v>0</v>
      </c>
      <c r="S22" s="178">
        <v>0</v>
      </c>
      <c r="T22" s="171" t="s">
        <v>148</v>
      </c>
    </row>
    <row r="23" spans="1:20" ht="19.5" customHeight="1">
      <c r="A23" s="84" t="s">
        <v>55</v>
      </c>
      <c r="B23" s="84" t="s">
        <v>106</v>
      </c>
      <c r="C23" s="72" t="s">
        <v>4</v>
      </c>
      <c r="D23" s="72" t="s">
        <v>6</v>
      </c>
      <c r="E23" s="72" t="s">
        <v>10</v>
      </c>
      <c r="F23" s="72" t="s">
        <v>8</v>
      </c>
      <c r="G23" s="72" t="s">
        <v>4</v>
      </c>
      <c r="H23" s="72" t="s">
        <v>10</v>
      </c>
      <c r="I23" s="72" t="s">
        <v>4</v>
      </c>
      <c r="J23" s="72" t="s">
        <v>10</v>
      </c>
      <c r="K23" s="72" t="s">
        <v>4</v>
      </c>
      <c r="L23" s="72" t="s">
        <v>4</v>
      </c>
      <c r="M23" s="72" t="s">
        <v>4</v>
      </c>
      <c r="N23" s="74" t="s">
        <v>13</v>
      </c>
      <c r="O23" s="75">
        <v>300</v>
      </c>
      <c r="P23" s="75">
        <v>0</v>
      </c>
      <c r="Q23" s="75">
        <v>1500</v>
      </c>
      <c r="R23" s="171">
        <f>Table4[[#This Row],[Late]]+Table4[[#This Row],[Excused Absence]]+Table4[[#This Row],[Unexcused Absence]]</f>
        <v>1800</v>
      </c>
      <c r="S23" s="178">
        <v>3</v>
      </c>
      <c r="T23" s="171" t="s">
        <v>149</v>
      </c>
    </row>
    <row r="24" spans="1:20" ht="19.5" customHeight="1">
      <c r="A24" s="84" t="s">
        <v>69</v>
      </c>
      <c r="B24" s="84" t="s">
        <v>107</v>
      </c>
      <c r="C24" s="72" t="s">
        <v>4</v>
      </c>
      <c r="D24" s="72" t="s">
        <v>4</v>
      </c>
      <c r="E24" s="72" t="s">
        <v>4</v>
      </c>
      <c r="F24" s="72" t="s">
        <v>4</v>
      </c>
      <c r="G24" s="72" t="s">
        <v>4</v>
      </c>
      <c r="H24" s="72" t="s">
        <v>4</v>
      </c>
      <c r="I24" s="72" t="s">
        <v>4</v>
      </c>
      <c r="J24" s="72" t="s">
        <v>4</v>
      </c>
      <c r="K24" s="72" t="s">
        <v>4</v>
      </c>
      <c r="L24" s="72" t="s">
        <v>10</v>
      </c>
      <c r="M24" s="72" t="s">
        <v>4</v>
      </c>
      <c r="N24" s="74" t="s">
        <v>13</v>
      </c>
      <c r="O24" s="75">
        <v>0</v>
      </c>
      <c r="P24" s="75">
        <v>0</v>
      </c>
      <c r="Q24" s="75">
        <v>500</v>
      </c>
      <c r="R24" s="171">
        <f>Table4[[#This Row],[Late]]+Table4[[#This Row],[Excused Absence]]+Table4[[#This Row],[Unexcused Absence]]</f>
        <v>500</v>
      </c>
      <c r="S24" s="178">
        <v>1</v>
      </c>
      <c r="T24" s="171" t="s">
        <v>149</v>
      </c>
    </row>
    <row r="25" spans="1:20" ht="19.5" customHeight="1">
      <c r="A25" s="76" t="s">
        <v>70</v>
      </c>
      <c r="B25" s="76" t="s">
        <v>106</v>
      </c>
      <c r="C25" s="79" t="s">
        <v>4</v>
      </c>
      <c r="D25" s="79" t="s">
        <v>4</v>
      </c>
      <c r="E25" s="79" t="s">
        <v>4</v>
      </c>
      <c r="F25" s="79" t="s">
        <v>4</v>
      </c>
      <c r="G25" s="79" t="s">
        <v>4</v>
      </c>
      <c r="H25" s="79" t="s">
        <v>4</v>
      </c>
      <c r="I25" s="79" t="s">
        <v>4</v>
      </c>
      <c r="J25" s="79" t="s">
        <v>4</v>
      </c>
      <c r="K25" s="79" t="s">
        <v>4</v>
      </c>
      <c r="L25" s="79" t="s">
        <v>4</v>
      </c>
      <c r="M25" s="79" t="s">
        <v>4</v>
      </c>
      <c r="N25" s="77" t="s">
        <v>16</v>
      </c>
      <c r="O25" s="82">
        <v>0</v>
      </c>
      <c r="P25" s="82">
        <v>0</v>
      </c>
      <c r="Q25" s="82">
        <v>0</v>
      </c>
      <c r="R25" s="171">
        <f>Table4[[#This Row],[Late]]+Table4[[#This Row],[Excused Absence]]+Table4[[#This Row],[Unexcused Absence]]</f>
        <v>0</v>
      </c>
      <c r="S25" s="178">
        <v>0</v>
      </c>
      <c r="T25" s="171" t="s">
        <v>148</v>
      </c>
    </row>
    <row r="26" spans="1:20" ht="19.5" customHeight="1">
      <c r="A26" s="76" t="s">
        <v>74</v>
      </c>
      <c r="B26" s="76" t="s">
        <v>106</v>
      </c>
      <c r="C26" s="79" t="s">
        <v>4</v>
      </c>
      <c r="D26" s="79" t="s">
        <v>4</v>
      </c>
      <c r="E26" s="79" t="s">
        <v>10</v>
      </c>
      <c r="F26" s="79" t="s">
        <v>4</v>
      </c>
      <c r="G26" s="79" t="s">
        <v>4</v>
      </c>
      <c r="H26" s="79" t="s">
        <v>4</v>
      </c>
      <c r="I26" s="79" t="s">
        <v>4</v>
      </c>
      <c r="J26" s="79" t="s">
        <v>4</v>
      </c>
      <c r="K26" s="79" t="s">
        <v>4</v>
      </c>
      <c r="L26" s="79" t="s">
        <v>4</v>
      </c>
      <c r="M26" s="79" t="s">
        <v>4</v>
      </c>
      <c r="N26" s="74" t="s">
        <v>13</v>
      </c>
      <c r="O26" s="82">
        <v>0</v>
      </c>
      <c r="P26" s="82">
        <v>0</v>
      </c>
      <c r="Q26" s="82">
        <v>500</v>
      </c>
      <c r="R26" s="171">
        <f>Table4[[#This Row],[Late]]+Table4[[#This Row],[Excused Absence]]+Table4[[#This Row],[Unexcused Absence]]</f>
        <v>500</v>
      </c>
      <c r="S26" s="178">
        <v>1</v>
      </c>
      <c r="T26" s="171" t="s">
        <v>149</v>
      </c>
    </row>
    <row r="27" spans="1:20" ht="19.5" customHeight="1">
      <c r="A27" s="84" t="s">
        <v>71</v>
      </c>
      <c r="B27" s="84" t="s">
        <v>106</v>
      </c>
      <c r="C27" s="72" t="s">
        <v>4</v>
      </c>
      <c r="D27" s="72" t="s">
        <v>4</v>
      </c>
      <c r="E27" s="72" t="s">
        <v>4</v>
      </c>
      <c r="F27" s="72" t="s">
        <v>10</v>
      </c>
      <c r="G27" s="72" t="s">
        <v>4</v>
      </c>
      <c r="H27" s="72" t="s">
        <v>4</v>
      </c>
      <c r="I27" s="72" t="s">
        <v>4</v>
      </c>
      <c r="J27" s="72" t="s">
        <v>10</v>
      </c>
      <c r="K27" s="72" t="s">
        <v>4</v>
      </c>
      <c r="L27" s="72" t="s">
        <v>4</v>
      </c>
      <c r="M27" s="72" t="s">
        <v>4</v>
      </c>
      <c r="N27" s="81" t="s">
        <v>12</v>
      </c>
      <c r="O27" s="75">
        <v>0</v>
      </c>
      <c r="P27" s="75">
        <v>0</v>
      </c>
      <c r="Q27" s="75">
        <v>1000</v>
      </c>
      <c r="R27" s="171">
        <f>Table4[[#This Row],[Late]]+Table4[[#This Row],[Excused Absence]]+Table4[[#This Row],[Unexcused Absence]]</f>
        <v>1000</v>
      </c>
      <c r="S27" s="178">
        <v>2</v>
      </c>
      <c r="T27" s="171" t="s">
        <v>149</v>
      </c>
    </row>
    <row r="28" spans="1:20" ht="19.5" customHeight="1">
      <c r="A28" s="76" t="s">
        <v>53</v>
      </c>
      <c r="B28" s="76" t="s">
        <v>107</v>
      </c>
      <c r="C28" s="71" t="s">
        <v>4</v>
      </c>
      <c r="D28" s="71" t="s">
        <v>4</v>
      </c>
      <c r="E28" s="71" t="s">
        <v>4</v>
      </c>
      <c r="F28" s="71" t="s">
        <v>10</v>
      </c>
      <c r="G28" s="71" t="s">
        <v>6</v>
      </c>
      <c r="H28" s="71" t="s">
        <v>4</v>
      </c>
      <c r="I28" s="71" t="s">
        <v>4</v>
      </c>
      <c r="J28" s="71" t="s">
        <v>4</v>
      </c>
      <c r="K28" s="71" t="s">
        <v>4</v>
      </c>
      <c r="L28" s="71" t="s">
        <v>4</v>
      </c>
      <c r="M28" s="71" t="s">
        <v>6</v>
      </c>
      <c r="N28" s="81" t="s">
        <v>12</v>
      </c>
      <c r="O28" s="78">
        <v>600</v>
      </c>
      <c r="P28" s="78">
        <v>0</v>
      </c>
      <c r="Q28" s="78">
        <v>500</v>
      </c>
      <c r="R28" s="171">
        <f>Table4[[#This Row],[Late]]+Table4[[#This Row],[Excused Absence]]+Table4[[#This Row],[Unexcused Absence]]</f>
        <v>1100</v>
      </c>
      <c r="S28" s="178">
        <v>1</v>
      </c>
      <c r="T28" s="171" t="s">
        <v>149</v>
      </c>
    </row>
    <row r="29" spans="1:20" ht="19.5" customHeight="1">
      <c r="A29" s="84" t="s">
        <v>64</v>
      </c>
      <c r="B29" s="84" t="s">
        <v>107</v>
      </c>
      <c r="C29" s="72" t="s">
        <v>10</v>
      </c>
      <c r="D29" s="72" t="s">
        <v>10</v>
      </c>
      <c r="E29" s="72" t="s">
        <v>4</v>
      </c>
      <c r="F29" s="72" t="s">
        <v>4</v>
      </c>
      <c r="G29" s="72" t="s">
        <v>4</v>
      </c>
      <c r="H29" s="72" t="s">
        <v>10</v>
      </c>
      <c r="I29" s="72" t="s">
        <v>4</v>
      </c>
      <c r="J29" s="72" t="s">
        <v>4</v>
      </c>
      <c r="K29" s="72" t="s">
        <v>10</v>
      </c>
      <c r="L29" s="72" t="s">
        <v>4</v>
      </c>
      <c r="M29" s="72" t="s">
        <v>4</v>
      </c>
      <c r="N29" s="74" t="s">
        <v>13</v>
      </c>
      <c r="O29" s="75">
        <v>0</v>
      </c>
      <c r="P29" s="75">
        <v>0</v>
      </c>
      <c r="Q29" s="75">
        <v>2000</v>
      </c>
      <c r="R29" s="171">
        <f>Table4[[#This Row],[Late]]+Table4[[#This Row],[Excused Absence]]+Table4[[#This Row],[Unexcused Absence]]</f>
        <v>2000</v>
      </c>
      <c r="S29" s="178">
        <v>4</v>
      </c>
      <c r="T29" s="171" t="s">
        <v>149</v>
      </c>
    </row>
    <row r="30" spans="1:20" ht="19.5" customHeight="1">
      <c r="A30" s="84" t="s">
        <v>103</v>
      </c>
      <c r="B30" s="84" t="s">
        <v>107</v>
      </c>
      <c r="C30" s="71" t="s">
        <v>4</v>
      </c>
      <c r="D30" s="71" t="s">
        <v>4</v>
      </c>
      <c r="E30" s="71" t="s">
        <v>4</v>
      </c>
      <c r="F30" s="71" t="s">
        <v>4</v>
      </c>
      <c r="G30" s="71" t="s">
        <v>4</v>
      </c>
      <c r="H30" s="71" t="s">
        <v>4</v>
      </c>
      <c r="I30" s="71" t="s">
        <v>4</v>
      </c>
      <c r="J30" s="71" t="s">
        <v>4</v>
      </c>
      <c r="K30" s="71"/>
      <c r="L30" s="71" t="s">
        <v>10</v>
      </c>
      <c r="M30" s="71" t="s">
        <v>10</v>
      </c>
      <c r="N30" s="81" t="s">
        <v>12</v>
      </c>
      <c r="O30" s="78">
        <v>0</v>
      </c>
      <c r="P30" s="78">
        <v>0</v>
      </c>
      <c r="Q30" s="78">
        <v>1000</v>
      </c>
      <c r="R30" s="171">
        <f>Table4[[#This Row],[Late]]+Table4[[#This Row],[Excused Absence]]+Table4[[#This Row],[Unexcused Absence]]</f>
        <v>1000</v>
      </c>
      <c r="S30" s="178">
        <v>2</v>
      </c>
      <c r="T30" s="171" t="s">
        <v>149</v>
      </c>
    </row>
    <row r="31" spans="1:20" ht="19.5" customHeight="1">
      <c r="A31" s="76" t="s">
        <v>41</v>
      </c>
      <c r="B31" s="76" t="s">
        <v>107</v>
      </c>
      <c r="C31" s="71" t="s">
        <v>4</v>
      </c>
      <c r="D31" s="71" t="s">
        <v>4</v>
      </c>
      <c r="E31" s="71" t="s">
        <v>4</v>
      </c>
      <c r="F31" s="71" t="s">
        <v>4</v>
      </c>
      <c r="G31" s="71" t="s">
        <v>4</v>
      </c>
      <c r="H31" s="71" t="s">
        <v>4</v>
      </c>
      <c r="I31" s="71" t="s">
        <v>4</v>
      </c>
      <c r="J31" s="71" t="s">
        <v>10</v>
      </c>
      <c r="K31" s="71" t="s">
        <v>4</v>
      </c>
      <c r="L31" s="71" t="s">
        <v>4</v>
      </c>
      <c r="M31" s="71" t="s">
        <v>10</v>
      </c>
      <c r="N31" s="81" t="s">
        <v>12</v>
      </c>
      <c r="O31" s="78">
        <v>0</v>
      </c>
      <c r="P31" s="78">
        <v>0</v>
      </c>
      <c r="Q31" s="78">
        <v>1000</v>
      </c>
      <c r="R31" s="171">
        <f>Table4[[#This Row],[Late]]+Table4[[#This Row],[Excused Absence]]+Table4[[#This Row],[Unexcused Absence]]</f>
        <v>1000</v>
      </c>
      <c r="S31" s="178">
        <v>2</v>
      </c>
      <c r="T31" s="171" t="s">
        <v>149</v>
      </c>
    </row>
    <row r="32" spans="1:20" ht="19.5" customHeight="1">
      <c r="A32" s="76" t="s">
        <v>117</v>
      </c>
      <c r="B32" s="76" t="s">
        <v>107</v>
      </c>
      <c r="C32" s="79" t="s">
        <v>4</v>
      </c>
      <c r="D32" s="79" t="s">
        <v>4</v>
      </c>
      <c r="E32" s="79" t="s">
        <v>10</v>
      </c>
      <c r="F32" s="79" t="s">
        <v>4</v>
      </c>
      <c r="G32" s="79" t="s">
        <v>4</v>
      </c>
      <c r="H32" s="79" t="s">
        <v>8</v>
      </c>
      <c r="I32" s="79" t="s">
        <v>4</v>
      </c>
      <c r="J32" s="79" t="s">
        <v>4</v>
      </c>
      <c r="K32" s="79" t="s">
        <v>4</v>
      </c>
      <c r="L32" s="79" t="s">
        <v>10</v>
      </c>
      <c r="M32" s="79" t="s">
        <v>10</v>
      </c>
      <c r="N32" s="74" t="s">
        <v>13</v>
      </c>
      <c r="O32" s="82">
        <v>0</v>
      </c>
      <c r="P32" s="82">
        <v>0</v>
      </c>
      <c r="Q32" s="82">
        <v>1500</v>
      </c>
      <c r="R32" s="171">
        <f>Table4[[#This Row],[Late]]+Table4[[#This Row],[Excused Absence]]+Table4[[#This Row],[Unexcused Absence]]</f>
        <v>1500</v>
      </c>
      <c r="S32" s="178">
        <v>3</v>
      </c>
      <c r="T32" s="171" t="s">
        <v>149</v>
      </c>
    </row>
    <row r="33" spans="1:20" ht="19.5" customHeight="1">
      <c r="A33" s="84" t="s">
        <v>73</v>
      </c>
      <c r="B33" s="84" t="s">
        <v>106</v>
      </c>
      <c r="C33" s="72" t="s">
        <v>6</v>
      </c>
      <c r="D33" s="72" t="s">
        <v>10</v>
      </c>
      <c r="E33" s="72" t="s">
        <v>4</v>
      </c>
      <c r="F33" s="72" t="s">
        <v>4</v>
      </c>
      <c r="G33" s="72" t="s">
        <v>4</v>
      </c>
      <c r="H33" s="72" t="s">
        <v>10</v>
      </c>
      <c r="I33" s="72" t="s">
        <v>4</v>
      </c>
      <c r="J33" s="72" t="s">
        <v>4</v>
      </c>
      <c r="K33" s="72" t="s">
        <v>10</v>
      </c>
      <c r="L33" s="72" t="s">
        <v>4</v>
      </c>
      <c r="M33" s="72" t="s">
        <v>8</v>
      </c>
      <c r="N33" s="81" t="s">
        <v>12</v>
      </c>
      <c r="O33" s="75">
        <v>300</v>
      </c>
      <c r="P33" s="75">
        <v>0</v>
      </c>
      <c r="Q33" s="75">
        <v>1500</v>
      </c>
      <c r="R33" s="171">
        <f>Table4[[#This Row],[Late]]+Table4[[#This Row],[Excused Absence]]+Table4[[#This Row],[Unexcused Absence]]</f>
        <v>1800</v>
      </c>
      <c r="S33" s="178">
        <v>3</v>
      </c>
      <c r="T33" s="171" t="s">
        <v>149</v>
      </c>
    </row>
    <row r="34" spans="1:20" ht="19.5" customHeight="1">
      <c r="A34" s="84" t="s">
        <v>51</v>
      </c>
      <c r="B34" s="84" t="s">
        <v>107</v>
      </c>
      <c r="C34" s="71" t="s">
        <v>4</v>
      </c>
      <c r="D34" s="71" t="s">
        <v>6</v>
      </c>
      <c r="E34" s="71" t="s">
        <v>4</v>
      </c>
      <c r="F34" s="71" t="s">
        <v>4</v>
      </c>
      <c r="G34" s="71" t="s">
        <v>10</v>
      </c>
      <c r="H34" s="71" t="s">
        <v>4</v>
      </c>
      <c r="I34" s="71" t="s">
        <v>6</v>
      </c>
      <c r="J34" s="71" t="s">
        <v>10</v>
      </c>
      <c r="K34" s="71" t="s">
        <v>4</v>
      </c>
      <c r="L34" s="71" t="s">
        <v>4</v>
      </c>
      <c r="M34" s="71" t="s">
        <v>4</v>
      </c>
      <c r="N34" s="81" t="s">
        <v>12</v>
      </c>
      <c r="O34" s="78">
        <v>600</v>
      </c>
      <c r="P34" s="78">
        <v>0</v>
      </c>
      <c r="Q34" s="78">
        <v>1000</v>
      </c>
      <c r="R34" s="171">
        <f>Table4[[#This Row],[Late]]+Table4[[#This Row],[Excused Absence]]+Table4[[#This Row],[Unexcused Absence]]</f>
        <v>1600</v>
      </c>
      <c r="S34" s="178">
        <v>2</v>
      </c>
      <c r="T34" s="171" t="s">
        <v>149</v>
      </c>
    </row>
    <row r="35" spans="1:20" ht="19.5" customHeight="1">
      <c r="A35" s="76" t="s">
        <v>90</v>
      </c>
      <c r="B35" s="76" t="s">
        <v>106</v>
      </c>
      <c r="C35" s="71" t="s">
        <v>4</v>
      </c>
      <c r="D35" s="71" t="s">
        <v>4</v>
      </c>
      <c r="E35" s="71" t="s">
        <v>4</v>
      </c>
      <c r="F35" s="71" t="s">
        <v>4</v>
      </c>
      <c r="G35" s="71" t="s">
        <v>4</v>
      </c>
      <c r="H35" s="71" t="s">
        <v>8</v>
      </c>
      <c r="I35" s="71" t="s">
        <v>10</v>
      </c>
      <c r="J35" s="71" t="s">
        <v>4</v>
      </c>
      <c r="K35" s="71" t="s">
        <v>4</v>
      </c>
      <c r="L35" s="71" t="s">
        <v>4</v>
      </c>
      <c r="M35" s="71" t="s">
        <v>4</v>
      </c>
      <c r="N35" s="74" t="s">
        <v>13</v>
      </c>
      <c r="O35" s="78">
        <v>0</v>
      </c>
      <c r="P35" s="78">
        <v>0</v>
      </c>
      <c r="Q35" s="78">
        <v>500</v>
      </c>
      <c r="R35" s="171">
        <f>Table4[[#This Row],[Late]]+Table4[[#This Row],[Excused Absence]]+Table4[[#This Row],[Unexcused Absence]]</f>
        <v>500</v>
      </c>
      <c r="S35" s="178">
        <v>1</v>
      </c>
      <c r="T35" s="171" t="s">
        <v>149</v>
      </c>
    </row>
    <row r="36" spans="1:20" ht="19.5" customHeight="1">
      <c r="A36" s="84" t="s">
        <v>75</v>
      </c>
      <c r="B36" s="84" t="s">
        <v>107</v>
      </c>
      <c r="C36" s="72" t="s">
        <v>4</v>
      </c>
      <c r="D36" s="72" t="s">
        <v>4</v>
      </c>
      <c r="E36" s="72" t="s">
        <v>4</v>
      </c>
      <c r="F36" s="72" t="s">
        <v>10</v>
      </c>
      <c r="G36" s="72" t="s">
        <v>4</v>
      </c>
      <c r="H36" s="72" t="s">
        <v>4</v>
      </c>
      <c r="I36" s="72" t="s">
        <v>4</v>
      </c>
      <c r="J36" s="72" t="s">
        <v>10</v>
      </c>
      <c r="K36" s="72" t="s">
        <v>4</v>
      </c>
      <c r="L36" s="72" t="s">
        <v>4</v>
      </c>
      <c r="M36" s="72" t="s">
        <v>4</v>
      </c>
      <c r="N36" s="74" t="s">
        <v>13</v>
      </c>
      <c r="O36" s="75">
        <v>0</v>
      </c>
      <c r="P36" s="75">
        <v>0</v>
      </c>
      <c r="Q36" s="75">
        <v>1000</v>
      </c>
      <c r="R36" s="171">
        <f>Table4[[#This Row],[Late]]+Table4[[#This Row],[Excused Absence]]+Table4[[#This Row],[Unexcused Absence]]</f>
        <v>1000</v>
      </c>
      <c r="S36" s="178">
        <v>2</v>
      </c>
      <c r="T36" s="171" t="s">
        <v>149</v>
      </c>
    </row>
    <row r="37" spans="1:20" ht="19.5" customHeight="1">
      <c r="A37" s="76" t="s">
        <v>44</v>
      </c>
      <c r="B37" s="76" t="s">
        <v>106</v>
      </c>
      <c r="C37" s="79" t="s">
        <v>4</v>
      </c>
      <c r="D37" s="79" t="s">
        <v>4</v>
      </c>
      <c r="E37" s="79" t="s">
        <v>4</v>
      </c>
      <c r="F37" s="79" t="s">
        <v>8</v>
      </c>
      <c r="G37" s="79" t="s">
        <v>4</v>
      </c>
      <c r="H37" s="79" t="s">
        <v>4</v>
      </c>
      <c r="I37" s="79" t="s">
        <v>4</v>
      </c>
      <c r="J37" s="79" t="s">
        <v>4</v>
      </c>
      <c r="K37" s="79" t="s">
        <v>8</v>
      </c>
      <c r="L37" s="79" t="s">
        <v>8</v>
      </c>
      <c r="M37" s="79" t="s">
        <v>4</v>
      </c>
      <c r="N37" s="77" t="s">
        <v>16</v>
      </c>
      <c r="O37" s="82">
        <v>0</v>
      </c>
      <c r="P37" s="82">
        <v>0</v>
      </c>
      <c r="Q37" s="82">
        <v>0</v>
      </c>
      <c r="R37" s="171">
        <f>Table4[[#This Row],[Late]]+Table4[[#This Row],[Excused Absence]]+Table4[[#This Row],[Unexcused Absence]]</f>
        <v>0</v>
      </c>
      <c r="S37" s="178">
        <v>0</v>
      </c>
      <c r="T37" s="171" t="s">
        <v>148</v>
      </c>
    </row>
    <row r="38" spans="1:20" ht="19.5" customHeight="1">
      <c r="A38" s="76" t="s">
        <v>100</v>
      </c>
      <c r="B38" s="76" t="s">
        <v>106</v>
      </c>
      <c r="C38" s="79" t="s">
        <v>4</v>
      </c>
      <c r="D38" s="79" t="s">
        <v>6</v>
      </c>
      <c r="E38" s="79" t="s">
        <v>4</v>
      </c>
      <c r="F38" s="79" t="s">
        <v>10</v>
      </c>
      <c r="G38" s="80" t="s">
        <v>10</v>
      </c>
      <c r="H38" s="79" t="s">
        <v>6</v>
      </c>
      <c r="I38" s="79" t="s">
        <v>4</v>
      </c>
      <c r="J38" s="79" t="s">
        <v>4</v>
      </c>
      <c r="K38" s="79" t="s">
        <v>4</v>
      </c>
      <c r="L38" s="79" t="s">
        <v>4</v>
      </c>
      <c r="M38" s="79" t="s">
        <v>4</v>
      </c>
      <c r="N38" s="74" t="s">
        <v>13</v>
      </c>
      <c r="O38" s="82">
        <v>600</v>
      </c>
      <c r="P38" s="82">
        <v>0</v>
      </c>
      <c r="Q38" s="82">
        <v>1000</v>
      </c>
      <c r="R38" s="171">
        <f>Table4[[#This Row],[Late]]+Table4[[#This Row],[Excused Absence]]+Table4[[#This Row],[Unexcused Absence]]</f>
        <v>1600</v>
      </c>
      <c r="S38" s="178">
        <v>2</v>
      </c>
      <c r="T38" s="171" t="s">
        <v>149</v>
      </c>
    </row>
    <row r="39" spans="1:20" ht="17.25" customHeight="1">
      <c r="A39" s="84" t="s">
        <v>65</v>
      </c>
      <c r="B39" s="84" t="s">
        <v>106</v>
      </c>
      <c r="C39" s="72" t="s">
        <v>4</v>
      </c>
      <c r="D39" s="72" t="s">
        <v>4</v>
      </c>
      <c r="E39" s="72" t="s">
        <v>4</v>
      </c>
      <c r="F39" s="72" t="s">
        <v>4</v>
      </c>
      <c r="G39" s="72" t="s">
        <v>4</v>
      </c>
      <c r="H39" s="72" t="s">
        <v>8</v>
      </c>
      <c r="I39" s="72" t="s">
        <v>4</v>
      </c>
      <c r="J39" s="72" t="s">
        <v>4</v>
      </c>
      <c r="K39" s="72" t="s">
        <v>4</v>
      </c>
      <c r="L39" s="72" t="s">
        <v>4</v>
      </c>
      <c r="M39" s="72" t="s">
        <v>4</v>
      </c>
      <c r="N39" s="77" t="s">
        <v>16</v>
      </c>
      <c r="O39" s="75">
        <v>0</v>
      </c>
      <c r="P39" s="75">
        <v>0</v>
      </c>
      <c r="Q39" s="75">
        <v>0</v>
      </c>
      <c r="R39" s="171">
        <f>Table4[[#This Row],[Late]]+Table4[[#This Row],[Excused Absence]]+Table4[[#This Row],[Unexcused Absence]]</f>
        <v>0</v>
      </c>
      <c r="S39" s="178">
        <v>0</v>
      </c>
      <c r="T39" s="171" t="s">
        <v>148</v>
      </c>
    </row>
    <row r="40" spans="1:20" ht="19.5" customHeight="1">
      <c r="A40" s="76" t="s">
        <v>49</v>
      </c>
      <c r="B40" s="76" t="s">
        <v>107</v>
      </c>
      <c r="C40" s="71" t="s">
        <v>4</v>
      </c>
      <c r="D40" s="71" t="s">
        <v>4</v>
      </c>
      <c r="E40" s="71" t="s">
        <v>4</v>
      </c>
      <c r="F40" s="71" t="s">
        <v>4</v>
      </c>
      <c r="G40" s="71" t="s">
        <v>4</v>
      </c>
      <c r="H40" s="71" t="s">
        <v>4</v>
      </c>
      <c r="I40" s="71" t="s">
        <v>6</v>
      </c>
      <c r="J40" s="71" t="s">
        <v>6</v>
      </c>
      <c r="K40" s="71" t="s">
        <v>4</v>
      </c>
      <c r="L40" s="71" t="s">
        <v>4</v>
      </c>
      <c r="M40" s="71" t="s">
        <v>4</v>
      </c>
      <c r="N40" s="81" t="s">
        <v>12</v>
      </c>
      <c r="O40" s="78">
        <v>600</v>
      </c>
      <c r="P40" s="78">
        <v>0</v>
      </c>
      <c r="Q40" s="78">
        <v>0</v>
      </c>
      <c r="R40" s="171">
        <f>Table4[[#This Row],[Late]]+Table4[[#This Row],[Excused Absence]]+Table4[[#This Row],[Unexcused Absence]]</f>
        <v>600</v>
      </c>
      <c r="S40" s="178">
        <v>0</v>
      </c>
      <c r="T40" s="171" t="s">
        <v>148</v>
      </c>
    </row>
    <row r="41" spans="1:20" ht="19.5" customHeight="1">
      <c r="A41" s="73" t="s">
        <v>56</v>
      </c>
      <c r="B41" s="73" t="s">
        <v>106</v>
      </c>
      <c r="C41" s="72" t="s">
        <v>4</v>
      </c>
      <c r="D41" s="72" t="s">
        <v>4</v>
      </c>
      <c r="E41" s="72" t="s">
        <v>4</v>
      </c>
      <c r="F41" s="72" t="s">
        <v>4</v>
      </c>
      <c r="G41" s="72" t="s">
        <v>6</v>
      </c>
      <c r="H41" s="72" t="s">
        <v>4</v>
      </c>
      <c r="I41" s="72" t="s">
        <v>4</v>
      </c>
      <c r="J41" s="72" t="s">
        <v>4</v>
      </c>
      <c r="K41" s="72" t="s">
        <v>4</v>
      </c>
      <c r="L41" s="72" t="s">
        <v>4</v>
      </c>
      <c r="M41" s="72" t="s">
        <v>4</v>
      </c>
      <c r="N41" s="81" t="s">
        <v>12</v>
      </c>
      <c r="O41" s="75">
        <v>300</v>
      </c>
      <c r="P41" s="75">
        <v>0</v>
      </c>
      <c r="Q41" s="75">
        <v>0</v>
      </c>
      <c r="R41" s="171">
        <f>Table4[[#This Row],[Late]]+Table4[[#This Row],[Excused Absence]]+Table4[[#This Row],[Unexcused Absence]]</f>
        <v>300</v>
      </c>
      <c r="S41" s="178">
        <v>0</v>
      </c>
      <c r="T41" s="171" t="s">
        <v>148</v>
      </c>
    </row>
    <row r="42" spans="1:20" ht="19.5" customHeight="1">
      <c r="A42" s="84" t="s">
        <v>62</v>
      </c>
      <c r="B42" s="84" t="s">
        <v>107</v>
      </c>
      <c r="C42" s="72" t="s">
        <v>4</v>
      </c>
      <c r="D42" s="72" t="s">
        <v>4</v>
      </c>
      <c r="E42" s="72" t="s">
        <v>10</v>
      </c>
      <c r="F42" s="72" t="s">
        <v>4</v>
      </c>
      <c r="G42" s="72" t="s">
        <v>4</v>
      </c>
      <c r="H42" s="72" t="s">
        <v>8</v>
      </c>
      <c r="I42" s="72" t="s">
        <v>4</v>
      </c>
      <c r="J42" s="72" t="s">
        <v>4</v>
      </c>
      <c r="K42" s="72" t="s">
        <v>6</v>
      </c>
      <c r="L42" s="72" t="s">
        <v>8</v>
      </c>
      <c r="M42" s="72" t="s">
        <v>4</v>
      </c>
      <c r="N42" s="81" t="s">
        <v>12</v>
      </c>
      <c r="O42" s="75">
        <v>300</v>
      </c>
      <c r="P42" s="75">
        <v>0</v>
      </c>
      <c r="Q42" s="75">
        <v>500</v>
      </c>
      <c r="R42" s="171">
        <f>Table4[[#This Row],[Late]]+Table4[[#This Row],[Excused Absence]]+Table4[[#This Row],[Unexcused Absence]]</f>
        <v>800</v>
      </c>
      <c r="S42" s="178">
        <v>1</v>
      </c>
      <c r="T42" s="171" t="s">
        <v>149</v>
      </c>
    </row>
    <row r="43" spans="1:20" ht="19.5" customHeight="1">
      <c r="A43" s="73" t="s">
        <v>82</v>
      </c>
      <c r="B43" s="73" t="s">
        <v>107</v>
      </c>
      <c r="C43" s="72" t="s">
        <v>4</v>
      </c>
      <c r="D43" s="72" t="s">
        <v>10</v>
      </c>
      <c r="E43" s="72" t="s">
        <v>10</v>
      </c>
      <c r="F43" s="72" t="s">
        <v>4</v>
      </c>
      <c r="G43" s="72" t="s">
        <v>10</v>
      </c>
      <c r="H43" s="72" t="s">
        <v>6</v>
      </c>
      <c r="I43" s="72" t="s">
        <v>4</v>
      </c>
      <c r="J43" s="72" t="s">
        <v>4</v>
      </c>
      <c r="K43" s="72" t="s">
        <v>6</v>
      </c>
      <c r="L43" s="72" t="s">
        <v>10</v>
      </c>
      <c r="M43" s="72" t="s">
        <v>4</v>
      </c>
      <c r="N43" s="81" t="s">
        <v>12</v>
      </c>
      <c r="O43" s="75">
        <v>600</v>
      </c>
      <c r="P43" s="75">
        <v>0</v>
      </c>
      <c r="Q43" s="75">
        <v>2000</v>
      </c>
      <c r="R43" s="171">
        <f>Table4[[#This Row],[Late]]+Table4[[#This Row],[Excused Absence]]+Table4[[#This Row],[Unexcused Absence]]</f>
        <v>2600</v>
      </c>
      <c r="S43" s="178">
        <v>4</v>
      </c>
      <c r="T43" s="171" t="s">
        <v>149</v>
      </c>
    </row>
    <row r="44" spans="1:20" ht="19.5" customHeight="1">
      <c r="A44" s="76" t="s">
        <v>60</v>
      </c>
      <c r="B44" s="76" t="s">
        <v>107</v>
      </c>
      <c r="C44" s="79" t="s">
        <v>4</v>
      </c>
      <c r="D44" s="79" t="s">
        <v>4</v>
      </c>
      <c r="E44" s="79" t="s">
        <v>4</v>
      </c>
      <c r="F44" s="79" t="s">
        <v>4</v>
      </c>
      <c r="G44" s="79" t="s">
        <v>4</v>
      </c>
      <c r="H44" s="79" t="s">
        <v>6</v>
      </c>
      <c r="I44" s="79" t="s">
        <v>4</v>
      </c>
      <c r="J44" s="79" t="s">
        <v>4</v>
      </c>
      <c r="K44" s="79" t="s">
        <v>4</v>
      </c>
      <c r="L44" s="79" t="s">
        <v>10</v>
      </c>
      <c r="M44" s="79" t="s">
        <v>4</v>
      </c>
      <c r="N44" s="81" t="s">
        <v>12</v>
      </c>
      <c r="O44" s="82">
        <v>300</v>
      </c>
      <c r="P44" s="82">
        <v>0</v>
      </c>
      <c r="Q44" s="82">
        <v>500</v>
      </c>
      <c r="R44" s="171">
        <f>Table4[[#This Row],[Late]]+Table4[[#This Row],[Excused Absence]]+Table4[[#This Row],[Unexcused Absence]]</f>
        <v>800</v>
      </c>
      <c r="S44" s="178">
        <v>1</v>
      </c>
      <c r="T44" s="171" t="s">
        <v>149</v>
      </c>
    </row>
    <row r="45" spans="1:20" ht="19.5" customHeight="1">
      <c r="A45" s="84" t="s">
        <v>77</v>
      </c>
      <c r="B45" s="84" t="s">
        <v>107</v>
      </c>
      <c r="C45" s="72" t="s">
        <v>4</v>
      </c>
      <c r="D45" s="72" t="s">
        <v>4</v>
      </c>
      <c r="E45" s="72" t="s">
        <v>10</v>
      </c>
      <c r="F45" s="72" t="s">
        <v>4</v>
      </c>
      <c r="G45" s="72" t="s">
        <v>4</v>
      </c>
      <c r="H45" s="72" t="s">
        <v>4</v>
      </c>
      <c r="I45" s="72" t="s">
        <v>4</v>
      </c>
      <c r="J45" s="72" t="s">
        <v>4</v>
      </c>
      <c r="K45" s="72" t="s">
        <v>4</v>
      </c>
      <c r="L45" s="72" t="s">
        <v>4</v>
      </c>
      <c r="M45" s="72" t="s">
        <v>10</v>
      </c>
      <c r="N45" s="81" t="s">
        <v>12</v>
      </c>
      <c r="O45" s="75">
        <v>0</v>
      </c>
      <c r="P45" s="75">
        <v>0</v>
      </c>
      <c r="Q45" s="75">
        <v>1000</v>
      </c>
      <c r="R45" s="171">
        <f>Table4[[#This Row],[Late]]+Table4[[#This Row],[Excused Absence]]+Table4[[#This Row],[Unexcused Absence]]</f>
        <v>1000</v>
      </c>
      <c r="S45" s="178">
        <v>2</v>
      </c>
      <c r="T45" s="171" t="s">
        <v>149</v>
      </c>
    </row>
    <row r="46" spans="1:20" ht="19.5" customHeight="1">
      <c r="A46" s="84" t="s">
        <v>85</v>
      </c>
      <c r="B46" s="84" t="s">
        <v>107</v>
      </c>
      <c r="C46" s="72" t="s">
        <v>10</v>
      </c>
      <c r="D46" s="72" t="s">
        <v>4</v>
      </c>
      <c r="E46" s="72" t="s">
        <v>4</v>
      </c>
      <c r="F46" s="72" t="s">
        <v>4</v>
      </c>
      <c r="G46" s="72" t="s">
        <v>4</v>
      </c>
      <c r="H46" s="72" t="s">
        <v>4</v>
      </c>
      <c r="I46" s="72" t="s">
        <v>4</v>
      </c>
      <c r="J46" s="72" t="s">
        <v>4</v>
      </c>
      <c r="K46" s="72" t="s">
        <v>4</v>
      </c>
      <c r="L46" s="72" t="s">
        <v>4</v>
      </c>
      <c r="M46" s="72" t="s">
        <v>4</v>
      </c>
      <c r="N46" s="74" t="s">
        <v>13</v>
      </c>
      <c r="O46" s="75">
        <v>0</v>
      </c>
      <c r="P46" s="75">
        <v>0</v>
      </c>
      <c r="Q46" s="75">
        <v>500</v>
      </c>
      <c r="R46" s="171">
        <f>Table4[[#This Row],[Late]]+Table4[[#This Row],[Excused Absence]]+Table4[[#This Row],[Unexcused Absence]]</f>
        <v>500</v>
      </c>
      <c r="S46" s="178">
        <v>1</v>
      </c>
      <c r="T46" s="171" t="s">
        <v>149</v>
      </c>
    </row>
    <row r="47" spans="1:20" ht="19.5" customHeight="1">
      <c r="A47" s="73" t="s">
        <v>86</v>
      </c>
      <c r="B47" s="73" t="s">
        <v>106</v>
      </c>
      <c r="C47" s="72" t="s">
        <v>4</v>
      </c>
      <c r="D47" s="72" t="s">
        <v>4</v>
      </c>
      <c r="E47" s="72" t="s">
        <v>4</v>
      </c>
      <c r="F47" s="72" t="s">
        <v>4</v>
      </c>
      <c r="G47" s="72" t="s">
        <v>4</v>
      </c>
      <c r="H47" s="72" t="s">
        <v>4</v>
      </c>
      <c r="I47" s="72" t="s">
        <v>4</v>
      </c>
      <c r="J47" s="72" t="s">
        <v>4</v>
      </c>
      <c r="K47" s="72" t="s">
        <v>4</v>
      </c>
      <c r="L47" s="72" t="s">
        <v>4</v>
      </c>
      <c r="M47" s="72" t="s">
        <v>4</v>
      </c>
      <c r="N47" s="77" t="s">
        <v>16</v>
      </c>
      <c r="O47" s="75">
        <v>0</v>
      </c>
      <c r="P47" s="75">
        <v>0</v>
      </c>
      <c r="Q47" s="75">
        <v>0</v>
      </c>
      <c r="R47" s="171">
        <f>Table4[[#This Row],[Late]]+Table4[[#This Row],[Excused Absence]]+Table4[[#This Row],[Unexcused Absence]]</f>
        <v>0</v>
      </c>
      <c r="S47" s="178">
        <v>0</v>
      </c>
      <c r="T47" s="171" t="s">
        <v>148</v>
      </c>
    </row>
    <row r="48" spans="1:20" ht="19.5" customHeight="1">
      <c r="A48" s="73" t="s">
        <v>87</v>
      </c>
      <c r="B48" s="73" t="s">
        <v>107</v>
      </c>
      <c r="C48" s="72" t="s">
        <v>4</v>
      </c>
      <c r="D48" s="72" t="s">
        <v>4</v>
      </c>
      <c r="E48" s="72" t="s">
        <v>4</v>
      </c>
      <c r="F48" s="72" t="s">
        <v>4</v>
      </c>
      <c r="G48" s="72" t="s">
        <v>4</v>
      </c>
      <c r="H48" s="72" t="s">
        <v>4</v>
      </c>
      <c r="I48" s="72" t="s">
        <v>4</v>
      </c>
      <c r="J48" s="72" t="s">
        <v>4</v>
      </c>
      <c r="K48" s="72" t="s">
        <v>10</v>
      </c>
      <c r="L48" s="72" t="s">
        <v>4</v>
      </c>
      <c r="M48" s="72" t="s">
        <v>4</v>
      </c>
      <c r="N48" s="74" t="s">
        <v>13</v>
      </c>
      <c r="O48" s="75">
        <v>0</v>
      </c>
      <c r="P48" s="75">
        <v>0</v>
      </c>
      <c r="Q48" s="75">
        <v>500</v>
      </c>
      <c r="R48" s="171">
        <f>Table4[[#This Row],[Late]]+Table4[[#This Row],[Excused Absence]]+Table4[[#This Row],[Unexcused Absence]]</f>
        <v>500</v>
      </c>
      <c r="S48" s="178">
        <v>1</v>
      </c>
      <c r="T48" s="171" t="s">
        <v>149</v>
      </c>
    </row>
    <row r="49" spans="1:20" ht="19.5" customHeight="1">
      <c r="A49" s="76" t="s">
        <v>108</v>
      </c>
      <c r="B49" s="76" t="s">
        <v>106</v>
      </c>
      <c r="C49" s="71" t="s">
        <v>4</v>
      </c>
      <c r="D49" s="71" t="s">
        <v>10</v>
      </c>
      <c r="E49" s="71" t="s">
        <v>4</v>
      </c>
      <c r="F49" s="71" t="s">
        <v>8</v>
      </c>
      <c r="G49" s="71" t="s">
        <v>4</v>
      </c>
      <c r="H49" s="71" t="s">
        <v>4</v>
      </c>
      <c r="I49" s="71" t="s">
        <v>10</v>
      </c>
      <c r="J49" s="71" t="s">
        <v>4</v>
      </c>
      <c r="K49" s="71" t="s">
        <v>4</v>
      </c>
      <c r="L49" s="71" t="s">
        <v>4</v>
      </c>
      <c r="M49" s="71" t="s">
        <v>4</v>
      </c>
      <c r="N49" s="81" t="s">
        <v>12</v>
      </c>
      <c r="O49" s="78">
        <v>0</v>
      </c>
      <c r="P49" s="78">
        <v>0</v>
      </c>
      <c r="Q49" s="78">
        <v>1000</v>
      </c>
      <c r="R49" s="171">
        <f>Table4[[#This Row],[Late]]+Table4[[#This Row],[Excused Absence]]+Table4[[#This Row],[Unexcused Absence]]</f>
        <v>1000</v>
      </c>
      <c r="S49" s="178">
        <v>2</v>
      </c>
      <c r="T49" s="171" t="s">
        <v>149</v>
      </c>
    </row>
    <row r="50" spans="1:20" ht="19.5" customHeight="1">
      <c r="A50" s="73" t="s">
        <v>48</v>
      </c>
      <c r="B50" s="73" t="s">
        <v>106</v>
      </c>
      <c r="C50" s="72" t="s">
        <v>6</v>
      </c>
      <c r="D50" s="72" t="s">
        <v>4</v>
      </c>
      <c r="E50" s="72" t="s">
        <v>4</v>
      </c>
      <c r="F50" s="72" t="s">
        <v>6</v>
      </c>
      <c r="G50" s="72" t="s">
        <v>10</v>
      </c>
      <c r="H50" s="72" t="s">
        <v>6</v>
      </c>
      <c r="I50" s="72" t="s">
        <v>4</v>
      </c>
      <c r="J50" s="72" t="s">
        <v>4</v>
      </c>
      <c r="K50" s="72" t="s">
        <v>4</v>
      </c>
      <c r="L50" s="72" t="s">
        <v>4</v>
      </c>
      <c r="M50" s="72" t="s">
        <v>4</v>
      </c>
      <c r="N50" s="81" t="s">
        <v>12</v>
      </c>
      <c r="O50" s="75">
        <v>900</v>
      </c>
      <c r="P50" s="75">
        <v>0</v>
      </c>
      <c r="Q50" s="75">
        <v>500</v>
      </c>
      <c r="R50" s="171">
        <f>Table4[[#This Row],[Late]]+Table4[[#This Row],[Excused Absence]]+Table4[[#This Row],[Unexcused Absence]]</f>
        <v>1400</v>
      </c>
      <c r="S50" s="178">
        <v>1</v>
      </c>
      <c r="T50" s="171" t="s">
        <v>149</v>
      </c>
    </row>
    <row r="51" spans="1:20" ht="19.5" customHeight="1">
      <c r="A51" s="73" t="s">
        <v>98</v>
      </c>
      <c r="B51" s="73" t="s">
        <v>106</v>
      </c>
      <c r="C51" s="72" t="s">
        <v>6</v>
      </c>
      <c r="D51" s="72" t="s">
        <v>4</v>
      </c>
      <c r="E51" s="72" t="s">
        <v>10</v>
      </c>
      <c r="F51" s="72" t="s">
        <v>4</v>
      </c>
      <c r="G51" s="72" t="s">
        <v>10</v>
      </c>
      <c r="H51" s="72" t="s">
        <v>4</v>
      </c>
      <c r="I51" s="72" t="s">
        <v>10</v>
      </c>
      <c r="J51" s="72" t="s">
        <v>10</v>
      </c>
      <c r="K51" s="72" t="s">
        <v>4</v>
      </c>
      <c r="L51" s="72" t="s">
        <v>4</v>
      </c>
      <c r="M51" s="72" t="s">
        <v>10</v>
      </c>
      <c r="N51" s="74" t="s">
        <v>13</v>
      </c>
      <c r="O51" s="75">
        <v>300</v>
      </c>
      <c r="P51" s="75">
        <v>0</v>
      </c>
      <c r="Q51" s="75">
        <v>1500</v>
      </c>
      <c r="R51" s="171">
        <f>Table4[[#This Row],[Late]]+Table4[[#This Row],[Excused Absence]]+Table4[[#This Row],[Unexcused Absence]]</f>
        <v>1800</v>
      </c>
      <c r="S51" s="178">
        <v>3</v>
      </c>
      <c r="T51" s="171" t="s">
        <v>149</v>
      </c>
    </row>
    <row r="52" spans="1:20" ht="19.5" customHeight="1">
      <c r="A52" s="76" t="s">
        <v>97</v>
      </c>
      <c r="B52" s="76" t="s">
        <v>106</v>
      </c>
      <c r="C52" s="71" t="s">
        <v>4</v>
      </c>
      <c r="D52" s="71" t="s">
        <v>4</v>
      </c>
      <c r="E52" s="71" t="s">
        <v>8</v>
      </c>
      <c r="F52" s="71" t="s">
        <v>4</v>
      </c>
      <c r="G52" s="85" t="s">
        <v>8</v>
      </c>
      <c r="H52" s="71" t="s">
        <v>4</v>
      </c>
      <c r="I52" s="71" t="s">
        <v>10</v>
      </c>
      <c r="J52" s="71" t="s">
        <v>10</v>
      </c>
      <c r="K52" s="71" t="s">
        <v>4</v>
      </c>
      <c r="L52" s="71" t="s">
        <v>4</v>
      </c>
      <c r="M52" s="71" t="s">
        <v>4</v>
      </c>
      <c r="N52" s="81" t="s">
        <v>12</v>
      </c>
      <c r="O52" s="78">
        <v>0</v>
      </c>
      <c r="P52" s="78">
        <v>0</v>
      </c>
      <c r="Q52" s="78">
        <v>1000</v>
      </c>
      <c r="R52" s="171">
        <f>Table4[[#This Row],[Late]]+Table4[[#This Row],[Excused Absence]]+Table4[[#This Row],[Unexcused Absence]]</f>
        <v>1000</v>
      </c>
      <c r="S52" s="178">
        <v>2</v>
      </c>
      <c r="T52" s="171" t="s">
        <v>149</v>
      </c>
    </row>
    <row r="53" spans="1:20" ht="19.5" customHeight="1">
      <c r="A53" s="84" t="s">
        <v>79</v>
      </c>
      <c r="B53" s="84" t="s">
        <v>107</v>
      </c>
      <c r="C53" s="72" t="s">
        <v>10</v>
      </c>
      <c r="D53" s="72" t="s">
        <v>6</v>
      </c>
      <c r="E53" s="72" t="s">
        <v>10</v>
      </c>
      <c r="F53" s="72" t="s">
        <v>6</v>
      </c>
      <c r="G53" s="72" t="s">
        <v>10</v>
      </c>
      <c r="H53" s="72" t="s">
        <v>4</v>
      </c>
      <c r="I53" s="72" t="s">
        <v>10</v>
      </c>
      <c r="J53" s="72" t="s">
        <v>10</v>
      </c>
      <c r="K53" s="72" t="s">
        <v>10</v>
      </c>
      <c r="L53" s="72" t="s">
        <v>10</v>
      </c>
      <c r="M53" s="72" t="s">
        <v>10</v>
      </c>
      <c r="N53" s="81" t="s">
        <v>12</v>
      </c>
      <c r="O53" s="75">
        <v>600</v>
      </c>
      <c r="P53" s="75">
        <v>0</v>
      </c>
      <c r="Q53" s="75">
        <v>4000</v>
      </c>
      <c r="R53" s="171">
        <f>Table4[[#This Row],[Late]]+Table4[[#This Row],[Excused Absence]]+Table4[[#This Row],[Unexcused Absence]]</f>
        <v>4600</v>
      </c>
      <c r="S53" s="178">
        <v>8</v>
      </c>
      <c r="T53" s="171" t="s">
        <v>149</v>
      </c>
    </row>
    <row r="54" spans="1:20" ht="19.5" customHeight="1">
      <c r="A54" s="76" t="s">
        <v>66</v>
      </c>
      <c r="B54" s="76" t="s">
        <v>107</v>
      </c>
      <c r="C54" s="79" t="s">
        <v>4</v>
      </c>
      <c r="D54" s="79" t="s">
        <v>4</v>
      </c>
      <c r="E54" s="79" t="s">
        <v>4</v>
      </c>
      <c r="F54" s="79" t="s">
        <v>4</v>
      </c>
      <c r="G54" s="79" t="s">
        <v>4</v>
      </c>
      <c r="H54" s="79" t="s">
        <v>8</v>
      </c>
      <c r="I54" s="79" t="s">
        <v>4</v>
      </c>
      <c r="J54" s="79" t="s">
        <v>4</v>
      </c>
      <c r="K54" s="79" t="s">
        <v>4</v>
      </c>
      <c r="L54" s="79" t="s">
        <v>4</v>
      </c>
      <c r="M54" s="79" t="s">
        <v>4</v>
      </c>
      <c r="N54" s="77" t="s">
        <v>16</v>
      </c>
      <c r="O54" s="82">
        <v>0</v>
      </c>
      <c r="P54" s="82">
        <v>0</v>
      </c>
      <c r="Q54" s="82">
        <v>0</v>
      </c>
      <c r="R54" s="171">
        <f>Table4[[#This Row],[Late]]+Table4[[#This Row],[Excused Absence]]+Table4[[#This Row],[Unexcused Absence]]</f>
        <v>0</v>
      </c>
      <c r="S54" s="178">
        <v>0</v>
      </c>
      <c r="T54" s="171" t="s">
        <v>148</v>
      </c>
    </row>
    <row r="55" spans="1:20" ht="19.5" customHeight="1">
      <c r="A55" s="73" t="s">
        <v>91</v>
      </c>
      <c r="B55" s="73" t="s">
        <v>107</v>
      </c>
      <c r="C55" s="72" t="s">
        <v>4</v>
      </c>
      <c r="D55" s="72" t="s">
        <v>4</v>
      </c>
      <c r="E55" s="72" t="s">
        <v>4</v>
      </c>
      <c r="F55" s="72" t="s">
        <v>4</v>
      </c>
      <c r="G55" s="72" t="s">
        <v>10</v>
      </c>
      <c r="H55" s="72" t="s">
        <v>4</v>
      </c>
      <c r="I55" s="72" t="s">
        <v>4</v>
      </c>
      <c r="J55" s="72" t="s">
        <v>6</v>
      </c>
      <c r="K55" s="72" t="s">
        <v>4</v>
      </c>
      <c r="L55" s="72" t="s">
        <v>6</v>
      </c>
      <c r="M55" s="72" t="s">
        <v>4</v>
      </c>
      <c r="N55" s="81" t="s">
        <v>12</v>
      </c>
      <c r="O55" s="75">
        <v>600</v>
      </c>
      <c r="P55" s="75">
        <v>0</v>
      </c>
      <c r="Q55" s="75">
        <v>500</v>
      </c>
      <c r="R55" s="171">
        <f>Table4[[#This Row],[Late]]+Table4[[#This Row],[Excused Absence]]+Table4[[#This Row],[Unexcused Absence]]</f>
        <v>1100</v>
      </c>
      <c r="S55" s="178">
        <v>1</v>
      </c>
      <c r="T55" s="171" t="s">
        <v>149</v>
      </c>
    </row>
    <row r="56" spans="1:20" ht="19.5" customHeight="1">
      <c r="A56" s="73" t="s">
        <v>38</v>
      </c>
      <c r="B56" s="73" t="s">
        <v>107</v>
      </c>
      <c r="C56" s="79" t="s">
        <v>4</v>
      </c>
      <c r="D56" s="79" t="s">
        <v>4</v>
      </c>
      <c r="E56" s="79" t="s">
        <v>4</v>
      </c>
      <c r="F56" s="79" t="s">
        <v>4</v>
      </c>
      <c r="G56" s="80" t="s">
        <v>4</v>
      </c>
      <c r="H56" s="79" t="s">
        <v>4</v>
      </c>
      <c r="I56" s="79" t="s">
        <v>4</v>
      </c>
      <c r="J56" s="79" t="s">
        <v>6</v>
      </c>
      <c r="K56" s="79" t="s">
        <v>10</v>
      </c>
      <c r="L56" s="79" t="s">
        <v>4</v>
      </c>
      <c r="M56" s="79" t="s">
        <v>4</v>
      </c>
      <c r="N56" s="81" t="s">
        <v>12</v>
      </c>
      <c r="O56" s="82">
        <v>300</v>
      </c>
      <c r="P56" s="82">
        <v>0</v>
      </c>
      <c r="Q56" s="82">
        <v>500</v>
      </c>
      <c r="R56" s="171">
        <f>Table4[[#This Row],[Late]]+Table4[[#This Row],[Excused Absence]]+Table4[[#This Row],[Unexcused Absence]]</f>
        <v>800</v>
      </c>
      <c r="S56" s="178">
        <v>1</v>
      </c>
      <c r="T56" s="171" t="s">
        <v>149</v>
      </c>
    </row>
    <row r="57" spans="1:20" ht="19.5" customHeight="1">
      <c r="A57" s="84" t="s">
        <v>43</v>
      </c>
      <c r="B57" s="84" t="s">
        <v>106</v>
      </c>
      <c r="C57" s="71" t="s">
        <v>4</v>
      </c>
      <c r="D57" s="71" t="s">
        <v>4</v>
      </c>
      <c r="E57" s="71" t="s">
        <v>4</v>
      </c>
      <c r="F57" s="71" t="s">
        <v>6</v>
      </c>
      <c r="G57" s="85" t="s">
        <v>8</v>
      </c>
      <c r="H57" s="71" t="s">
        <v>8</v>
      </c>
      <c r="I57" s="71" t="s">
        <v>4</v>
      </c>
      <c r="J57" s="71" t="s">
        <v>4</v>
      </c>
      <c r="K57" s="71" t="s">
        <v>8</v>
      </c>
      <c r="L57" s="71" t="s">
        <v>4</v>
      </c>
      <c r="M57" s="71" t="s">
        <v>4</v>
      </c>
      <c r="N57" s="74" t="s">
        <v>13</v>
      </c>
      <c r="O57" s="78">
        <v>300</v>
      </c>
      <c r="P57" s="78">
        <v>0</v>
      </c>
      <c r="Q57" s="78">
        <v>0</v>
      </c>
      <c r="R57" s="171">
        <f>Table4[[#This Row],[Late]]+Table4[[#This Row],[Excused Absence]]+Table4[[#This Row],[Unexcused Absence]]</f>
        <v>300</v>
      </c>
      <c r="S57" s="178">
        <v>0</v>
      </c>
      <c r="T57" s="171" t="s">
        <v>148</v>
      </c>
    </row>
    <row r="58" spans="1:20" ht="19.5" customHeight="1">
      <c r="A58" s="76" t="s">
        <v>84</v>
      </c>
      <c r="B58" s="76" t="s">
        <v>106</v>
      </c>
      <c r="C58" s="71" t="s">
        <v>4</v>
      </c>
      <c r="D58" s="71" t="s">
        <v>10</v>
      </c>
      <c r="E58" s="71" t="s">
        <v>4</v>
      </c>
      <c r="F58" s="71" t="s">
        <v>4</v>
      </c>
      <c r="G58" s="71" t="s">
        <v>4</v>
      </c>
      <c r="H58" s="71" t="s">
        <v>4</v>
      </c>
      <c r="I58" s="71" t="s">
        <v>4</v>
      </c>
      <c r="J58" s="71" t="s">
        <v>4</v>
      </c>
      <c r="K58" s="71" t="s">
        <v>4</v>
      </c>
      <c r="L58" s="71" t="s">
        <v>4</v>
      </c>
      <c r="M58" s="71" t="s">
        <v>4</v>
      </c>
      <c r="N58" s="74" t="s">
        <v>13</v>
      </c>
      <c r="O58" s="78">
        <v>0</v>
      </c>
      <c r="P58" s="78">
        <v>0</v>
      </c>
      <c r="Q58" s="78">
        <v>500</v>
      </c>
      <c r="R58" s="171">
        <f>Table4[[#This Row],[Late]]+Table4[[#This Row],[Excused Absence]]+Table4[[#This Row],[Unexcused Absence]]</f>
        <v>500</v>
      </c>
      <c r="S58" s="178">
        <v>1</v>
      </c>
      <c r="T58" s="171" t="s">
        <v>149</v>
      </c>
    </row>
    <row r="59" spans="1:20" ht="19.5" customHeight="1">
      <c r="A59" s="73" t="s">
        <v>68</v>
      </c>
      <c r="B59" s="73" t="s">
        <v>106</v>
      </c>
      <c r="C59" s="72" t="s">
        <v>4</v>
      </c>
      <c r="D59" s="72" t="s">
        <v>4</v>
      </c>
      <c r="E59" s="72" t="s">
        <v>4</v>
      </c>
      <c r="F59" s="72" t="s">
        <v>10</v>
      </c>
      <c r="G59" s="72" t="s">
        <v>4</v>
      </c>
      <c r="H59" s="72" t="s">
        <v>4</v>
      </c>
      <c r="I59" s="72" t="s">
        <v>4</v>
      </c>
      <c r="J59" s="72" t="s">
        <v>10</v>
      </c>
      <c r="K59" s="72" t="s">
        <v>4</v>
      </c>
      <c r="L59" s="72" t="s">
        <v>4</v>
      </c>
      <c r="M59" s="72" t="s">
        <v>4</v>
      </c>
      <c r="N59" s="74" t="s">
        <v>13</v>
      </c>
      <c r="O59" s="75">
        <v>0</v>
      </c>
      <c r="P59" s="75">
        <v>0</v>
      </c>
      <c r="Q59" s="75">
        <v>1000</v>
      </c>
      <c r="R59" s="171">
        <f>Table4[[#This Row],[Late]]+Table4[[#This Row],[Excused Absence]]+Table4[[#This Row],[Unexcused Absence]]</f>
        <v>1000</v>
      </c>
      <c r="S59" s="178">
        <v>2</v>
      </c>
      <c r="T59" s="171" t="s">
        <v>149</v>
      </c>
    </row>
    <row r="60" spans="1:20" ht="19.5" customHeight="1">
      <c r="A60" s="84" t="s">
        <v>47</v>
      </c>
      <c r="B60" s="84" t="s">
        <v>107</v>
      </c>
      <c r="C60" s="71" t="s">
        <v>4</v>
      </c>
      <c r="D60" s="71" t="s">
        <v>4</v>
      </c>
      <c r="E60" s="71" t="s">
        <v>4</v>
      </c>
      <c r="F60" s="71" t="s">
        <v>4</v>
      </c>
      <c r="G60" s="71" t="s">
        <v>4</v>
      </c>
      <c r="H60" s="71" t="s">
        <v>4</v>
      </c>
      <c r="I60" s="71" t="s">
        <v>4</v>
      </c>
      <c r="J60" s="71" t="s">
        <v>8</v>
      </c>
      <c r="K60" s="71" t="s">
        <v>4</v>
      </c>
      <c r="L60" s="71" t="s">
        <v>4</v>
      </c>
      <c r="M60" s="71" t="s">
        <v>4</v>
      </c>
      <c r="N60" s="77" t="s">
        <v>16</v>
      </c>
      <c r="O60" s="78">
        <v>0</v>
      </c>
      <c r="P60" s="78">
        <v>0</v>
      </c>
      <c r="Q60" s="78">
        <v>0</v>
      </c>
      <c r="R60" s="171">
        <f>Table4[[#This Row],[Late]]+Table4[[#This Row],[Excused Absence]]+Table4[[#This Row],[Unexcused Absence]]</f>
        <v>0</v>
      </c>
      <c r="S60" s="178">
        <v>0</v>
      </c>
      <c r="T60" s="171" t="s">
        <v>148</v>
      </c>
    </row>
    <row r="61" spans="1:20" ht="19.5" customHeight="1">
      <c r="A61" s="76" t="s">
        <v>99</v>
      </c>
      <c r="B61" s="76" t="s">
        <v>106</v>
      </c>
      <c r="C61" s="71" t="s">
        <v>4</v>
      </c>
      <c r="D61" s="71" t="s">
        <v>10</v>
      </c>
      <c r="E61" s="71" t="s">
        <v>4</v>
      </c>
      <c r="F61" s="71" t="s">
        <v>4</v>
      </c>
      <c r="G61" s="85" t="s">
        <v>4</v>
      </c>
      <c r="H61" s="71" t="s">
        <v>4</v>
      </c>
      <c r="I61" s="71" t="s">
        <v>4</v>
      </c>
      <c r="J61" s="71" t="s">
        <v>8</v>
      </c>
      <c r="K61" s="71" t="s">
        <v>8</v>
      </c>
      <c r="L61" s="71" t="s">
        <v>8</v>
      </c>
      <c r="M61" s="71" t="s">
        <v>8</v>
      </c>
      <c r="N61" s="74" t="s">
        <v>13</v>
      </c>
      <c r="O61" s="78">
        <v>0</v>
      </c>
      <c r="P61" s="78">
        <v>0</v>
      </c>
      <c r="Q61" s="78">
        <v>500</v>
      </c>
      <c r="R61" s="171">
        <f>Table4[[#This Row],[Late]]+Table4[[#This Row],[Excused Absence]]+Table4[[#This Row],[Unexcused Absence]]</f>
        <v>500</v>
      </c>
      <c r="S61" s="178">
        <v>1</v>
      </c>
      <c r="T61" s="171" t="s">
        <v>149</v>
      </c>
    </row>
    <row r="62" spans="1:20" ht="19.5" customHeight="1">
      <c r="A62" s="76" t="s">
        <v>93</v>
      </c>
      <c r="B62" s="76" t="s">
        <v>107</v>
      </c>
      <c r="C62" s="71" t="s">
        <v>4</v>
      </c>
      <c r="D62" s="71" t="s">
        <v>4</v>
      </c>
      <c r="E62" s="71" t="s">
        <v>4</v>
      </c>
      <c r="F62" s="71" t="s">
        <v>4</v>
      </c>
      <c r="G62" s="71" t="s">
        <v>4</v>
      </c>
      <c r="H62" s="71" t="s">
        <v>4</v>
      </c>
      <c r="I62" s="71" t="s">
        <v>4</v>
      </c>
      <c r="J62" s="71" t="s">
        <v>10</v>
      </c>
      <c r="K62" s="71" t="s">
        <v>6</v>
      </c>
      <c r="L62" s="71" t="s">
        <v>4</v>
      </c>
      <c r="M62" s="71" t="s">
        <v>6</v>
      </c>
      <c r="N62" s="81" t="s">
        <v>12</v>
      </c>
      <c r="O62" s="78">
        <v>600</v>
      </c>
      <c r="P62" s="78">
        <v>0</v>
      </c>
      <c r="Q62" s="78">
        <v>500</v>
      </c>
      <c r="R62" s="171">
        <f>Table4[[#This Row],[Late]]+Table4[[#This Row],[Excused Absence]]+Table4[[#This Row],[Unexcused Absence]]</f>
        <v>1100</v>
      </c>
      <c r="S62" s="178">
        <v>1</v>
      </c>
      <c r="T62" s="171" t="s">
        <v>149</v>
      </c>
    </row>
    <row r="63" spans="1:20" ht="19.5" customHeight="1">
      <c r="A63" s="84" t="s">
        <v>95</v>
      </c>
      <c r="B63" s="84" t="s">
        <v>106</v>
      </c>
      <c r="C63" s="72" t="s">
        <v>4</v>
      </c>
      <c r="D63" s="72" t="s">
        <v>4</v>
      </c>
      <c r="E63" s="72" t="s">
        <v>4</v>
      </c>
      <c r="F63" s="72" t="s">
        <v>4</v>
      </c>
      <c r="G63" s="72" t="s">
        <v>6</v>
      </c>
      <c r="H63" s="72" t="s">
        <v>10</v>
      </c>
      <c r="I63" s="72" t="s">
        <v>4</v>
      </c>
      <c r="J63" s="72" t="s">
        <v>4</v>
      </c>
      <c r="K63" s="72" t="s">
        <v>4</v>
      </c>
      <c r="L63" s="72" t="s">
        <v>4</v>
      </c>
      <c r="M63" s="72" t="s">
        <v>4</v>
      </c>
      <c r="N63" s="81" t="s">
        <v>12</v>
      </c>
      <c r="O63" s="75">
        <v>300</v>
      </c>
      <c r="P63" s="75">
        <v>0</v>
      </c>
      <c r="Q63" s="75">
        <v>500</v>
      </c>
      <c r="R63" s="171">
        <f>Table4[[#This Row],[Late]]+Table4[[#This Row],[Excused Absence]]+Table4[[#This Row],[Unexcused Absence]]</f>
        <v>800</v>
      </c>
      <c r="S63" s="178">
        <v>1</v>
      </c>
      <c r="T63" s="171" t="s">
        <v>149</v>
      </c>
    </row>
    <row r="64" spans="1:20" ht="19.5" customHeight="1">
      <c r="A64" s="73" t="s">
        <v>63</v>
      </c>
      <c r="B64" s="73" t="s">
        <v>107</v>
      </c>
      <c r="C64" s="72" t="s">
        <v>4</v>
      </c>
      <c r="D64" s="72" t="s">
        <v>4</v>
      </c>
      <c r="E64" s="72" t="s">
        <v>4</v>
      </c>
      <c r="F64" s="72" t="s">
        <v>6</v>
      </c>
      <c r="G64" s="72" t="s">
        <v>4</v>
      </c>
      <c r="H64" s="72" t="s">
        <v>4</v>
      </c>
      <c r="I64" s="72" t="s">
        <v>4</v>
      </c>
      <c r="J64" s="72" t="s">
        <v>8</v>
      </c>
      <c r="K64" s="72" t="s">
        <v>4</v>
      </c>
      <c r="L64" s="72" t="s">
        <v>8</v>
      </c>
      <c r="M64" s="72" t="s">
        <v>10</v>
      </c>
      <c r="N64" s="81" t="s">
        <v>12</v>
      </c>
      <c r="O64" s="75">
        <v>300</v>
      </c>
      <c r="P64" s="75">
        <v>0</v>
      </c>
      <c r="Q64" s="75">
        <v>500</v>
      </c>
      <c r="R64" s="171">
        <f>Table4[[#This Row],[Late]]+Table4[[#This Row],[Excused Absence]]+Table4[[#This Row],[Unexcused Absence]]</f>
        <v>800</v>
      </c>
      <c r="S64" s="178">
        <v>1</v>
      </c>
      <c r="T64" s="171" t="s">
        <v>149</v>
      </c>
    </row>
    <row r="65" spans="1:20" ht="19.5" customHeight="1">
      <c r="A65" s="76" t="s">
        <v>89</v>
      </c>
      <c r="B65" s="76" t="s">
        <v>107</v>
      </c>
      <c r="C65" s="79" t="s">
        <v>6</v>
      </c>
      <c r="D65" s="79" t="s">
        <v>10</v>
      </c>
      <c r="E65" s="79" t="s">
        <v>10</v>
      </c>
      <c r="F65" s="79" t="s">
        <v>10</v>
      </c>
      <c r="G65" s="79" t="s">
        <v>4</v>
      </c>
      <c r="H65" s="79" t="s">
        <v>10</v>
      </c>
      <c r="I65" s="79" t="s">
        <v>4</v>
      </c>
      <c r="J65" s="79" t="s">
        <v>10</v>
      </c>
      <c r="K65" s="79" t="s">
        <v>10</v>
      </c>
      <c r="L65" s="79" t="s">
        <v>10</v>
      </c>
      <c r="M65" s="79" t="s">
        <v>4</v>
      </c>
      <c r="N65" s="74" t="s">
        <v>13</v>
      </c>
      <c r="O65" s="82">
        <v>300</v>
      </c>
      <c r="P65" s="82">
        <v>0</v>
      </c>
      <c r="Q65" s="82">
        <v>3500</v>
      </c>
      <c r="R65" s="171">
        <f>Table4[[#This Row],[Late]]+Table4[[#This Row],[Excused Absence]]+Table4[[#This Row],[Unexcused Absence]]</f>
        <v>3800</v>
      </c>
      <c r="S65" s="178">
        <v>7</v>
      </c>
      <c r="T65" s="171" t="s">
        <v>149</v>
      </c>
    </row>
    <row r="66" spans="1:20" ht="19.5" customHeight="1">
      <c r="A66" s="84" t="s">
        <v>39</v>
      </c>
      <c r="B66" s="84" t="s">
        <v>107</v>
      </c>
      <c r="C66" s="71" t="s">
        <v>4</v>
      </c>
      <c r="D66" s="71" t="s">
        <v>10</v>
      </c>
      <c r="E66" s="71" t="s">
        <v>10</v>
      </c>
      <c r="F66" s="71" t="s">
        <v>4</v>
      </c>
      <c r="G66" s="85" t="s">
        <v>4</v>
      </c>
      <c r="H66" s="71" t="s">
        <v>8</v>
      </c>
      <c r="I66" s="71" t="s">
        <v>10</v>
      </c>
      <c r="J66" s="71" t="s">
        <v>4</v>
      </c>
      <c r="K66" s="71" t="s">
        <v>10</v>
      </c>
      <c r="L66" s="71" t="s">
        <v>10</v>
      </c>
      <c r="M66" s="71" t="s">
        <v>4</v>
      </c>
      <c r="N66" s="81" t="s">
        <v>12</v>
      </c>
      <c r="O66" s="78">
        <v>0</v>
      </c>
      <c r="P66" s="78">
        <v>0</v>
      </c>
      <c r="Q66" s="78">
        <v>2500</v>
      </c>
      <c r="R66" s="171">
        <f>Table4[[#This Row],[Late]]+Table4[[#This Row],[Excused Absence]]+Table4[[#This Row],[Unexcused Absence]]</f>
        <v>2500</v>
      </c>
      <c r="S66" s="178">
        <v>5</v>
      </c>
      <c r="T66" s="171" t="s">
        <v>149</v>
      </c>
    </row>
    <row r="67" spans="1:20" ht="19.5" customHeight="1">
      <c r="A67" s="76" t="s">
        <v>110</v>
      </c>
      <c r="B67" s="76" t="s">
        <v>107</v>
      </c>
      <c r="C67" s="79" t="s">
        <v>4</v>
      </c>
      <c r="D67" s="79" t="s">
        <v>4</v>
      </c>
      <c r="E67" s="79" t="s">
        <v>4</v>
      </c>
      <c r="F67" s="79" t="s">
        <v>4</v>
      </c>
      <c r="G67" s="79" t="s">
        <v>4</v>
      </c>
      <c r="H67" s="79" t="s">
        <v>6</v>
      </c>
      <c r="I67" s="79" t="s">
        <v>4</v>
      </c>
      <c r="J67" s="79" t="s">
        <v>10</v>
      </c>
      <c r="K67" s="79" t="s">
        <v>4</v>
      </c>
      <c r="L67" s="79" t="s">
        <v>10</v>
      </c>
      <c r="M67" s="79" t="s">
        <v>4</v>
      </c>
      <c r="N67" s="81" t="s">
        <v>12</v>
      </c>
      <c r="O67" s="82">
        <v>300</v>
      </c>
      <c r="P67" s="82">
        <v>0</v>
      </c>
      <c r="Q67" s="82">
        <v>1000</v>
      </c>
      <c r="R67" s="171">
        <f>Table4[[#This Row],[Late]]+Table4[[#This Row],[Excused Absence]]+Table4[[#This Row],[Unexcused Absence]]</f>
        <v>1300</v>
      </c>
      <c r="S67" s="178">
        <v>2</v>
      </c>
      <c r="T67" s="171" t="s">
        <v>149</v>
      </c>
    </row>
    <row r="68" spans="1:20" ht="19.5" customHeight="1">
      <c r="A68" s="73" t="s">
        <v>58</v>
      </c>
      <c r="B68" s="73" t="s">
        <v>106</v>
      </c>
      <c r="C68" s="72" t="s">
        <v>4</v>
      </c>
      <c r="D68" s="72" t="s">
        <v>6</v>
      </c>
      <c r="E68" s="72" t="s">
        <v>4</v>
      </c>
      <c r="F68" s="72" t="s">
        <v>4</v>
      </c>
      <c r="G68" s="72" t="s">
        <v>4</v>
      </c>
      <c r="H68" s="72" t="s">
        <v>4</v>
      </c>
      <c r="I68" s="72" t="s">
        <v>4</v>
      </c>
      <c r="J68" s="72" t="s">
        <v>8</v>
      </c>
      <c r="K68" s="72" t="s">
        <v>4</v>
      </c>
      <c r="L68" s="72" t="s">
        <v>10</v>
      </c>
      <c r="M68" s="72" t="s">
        <v>10</v>
      </c>
      <c r="N68" s="74" t="s">
        <v>13</v>
      </c>
      <c r="O68" s="75">
        <v>300</v>
      </c>
      <c r="P68" s="75">
        <v>0</v>
      </c>
      <c r="Q68" s="75">
        <v>1000</v>
      </c>
      <c r="R68" s="171">
        <f>Table4[[#This Row],[Late]]+Table4[[#This Row],[Excused Absence]]+Table4[[#This Row],[Unexcused Absence]]</f>
        <v>1300</v>
      </c>
      <c r="S68" s="178">
        <v>2</v>
      </c>
      <c r="T68" s="171" t="s">
        <v>149</v>
      </c>
    </row>
    <row r="69" spans="1:20" ht="19.5" customHeight="1">
      <c r="A69" s="76" t="s">
        <v>101</v>
      </c>
      <c r="B69" s="76" t="s">
        <v>106</v>
      </c>
      <c r="C69" s="71" t="s">
        <v>4</v>
      </c>
      <c r="D69" s="71" t="s">
        <v>10</v>
      </c>
      <c r="E69" s="71" t="s">
        <v>10</v>
      </c>
      <c r="F69" s="71" t="s">
        <v>10</v>
      </c>
      <c r="G69" s="85" t="s">
        <v>6</v>
      </c>
      <c r="H69" s="71" t="s">
        <v>6</v>
      </c>
      <c r="I69" s="71" t="s">
        <v>6</v>
      </c>
      <c r="J69" s="71" t="s">
        <v>10</v>
      </c>
      <c r="K69" s="71" t="s">
        <v>4</v>
      </c>
      <c r="L69" s="71" t="s">
        <v>4</v>
      </c>
      <c r="M69" s="71" t="s">
        <v>4</v>
      </c>
      <c r="N69" s="74" t="s">
        <v>13</v>
      </c>
      <c r="O69" s="78">
        <v>900</v>
      </c>
      <c r="P69" s="78">
        <v>0</v>
      </c>
      <c r="Q69" s="78">
        <v>2000</v>
      </c>
      <c r="R69" s="171">
        <f>Table4[[#This Row],[Late]]+Table4[[#This Row],[Excused Absence]]+Table4[[#This Row],[Unexcused Absence]]</f>
        <v>2900</v>
      </c>
      <c r="S69" s="178">
        <v>4</v>
      </c>
      <c r="T69" s="171" t="s">
        <v>149</v>
      </c>
    </row>
    <row r="70" spans="1:20" ht="19.5" customHeight="1">
      <c r="A70" s="76" t="s">
        <v>109</v>
      </c>
      <c r="B70" s="76" t="s">
        <v>107</v>
      </c>
      <c r="C70" s="71" t="s">
        <v>4</v>
      </c>
      <c r="D70" s="71" t="s">
        <v>10</v>
      </c>
      <c r="E70" s="71" t="s">
        <v>4</v>
      </c>
      <c r="F70" s="71" t="s">
        <v>10</v>
      </c>
      <c r="G70" s="71" t="s">
        <v>6</v>
      </c>
      <c r="H70" s="71" t="s">
        <v>8</v>
      </c>
      <c r="I70" s="71" t="s">
        <v>4</v>
      </c>
      <c r="J70" s="71" t="s">
        <v>4</v>
      </c>
      <c r="K70" s="71" t="s">
        <v>4</v>
      </c>
      <c r="L70" s="71" t="s">
        <v>4</v>
      </c>
      <c r="M70" s="71" t="s">
        <v>10</v>
      </c>
      <c r="N70" s="81" t="s">
        <v>12</v>
      </c>
      <c r="O70" s="78">
        <v>600</v>
      </c>
      <c r="P70" s="78">
        <v>0</v>
      </c>
      <c r="Q70" s="78">
        <v>1500</v>
      </c>
      <c r="R70" s="171">
        <f>Table4[[#This Row],[Late]]+Table4[[#This Row],[Excused Absence]]+Table4[[#This Row],[Unexcused Absence]]</f>
        <v>2100</v>
      </c>
      <c r="S70" s="178">
        <v>3</v>
      </c>
      <c r="T70" s="171" t="s">
        <v>149</v>
      </c>
    </row>
    <row r="71" spans="1:20" ht="19.5" customHeight="1">
      <c r="A71" s="84" t="s">
        <v>88</v>
      </c>
      <c r="B71" s="84" t="s">
        <v>107</v>
      </c>
      <c r="C71" s="72" t="s">
        <v>10</v>
      </c>
      <c r="D71" s="72" t="s">
        <v>10</v>
      </c>
      <c r="E71" s="72" t="s">
        <v>4</v>
      </c>
      <c r="F71" s="72" t="s">
        <v>10</v>
      </c>
      <c r="G71" s="72" t="s">
        <v>4</v>
      </c>
      <c r="H71" s="72" t="s">
        <v>4</v>
      </c>
      <c r="I71" s="72" t="s">
        <v>4</v>
      </c>
      <c r="J71" s="72" t="s">
        <v>4</v>
      </c>
      <c r="K71" s="72" t="s">
        <v>4</v>
      </c>
      <c r="L71" s="72" t="s">
        <v>4</v>
      </c>
      <c r="M71" s="72" t="s">
        <v>10</v>
      </c>
      <c r="N71" s="81" t="s">
        <v>12</v>
      </c>
      <c r="O71" s="75">
        <v>0</v>
      </c>
      <c r="P71" s="75">
        <v>0</v>
      </c>
      <c r="Q71" s="75">
        <v>2000</v>
      </c>
      <c r="R71" s="171">
        <f>Table4[[#This Row],[Late]]+Table4[[#This Row],[Excused Absence]]+Table4[[#This Row],[Unexcused Absence]]</f>
        <v>2000</v>
      </c>
      <c r="S71" s="178">
        <v>4</v>
      </c>
      <c r="T71" s="171" t="s">
        <v>149</v>
      </c>
    </row>
    <row r="72" spans="1:20" ht="19.5" customHeight="1">
      <c r="A72" s="73" t="s">
        <v>102</v>
      </c>
      <c r="B72" s="73" t="s">
        <v>107</v>
      </c>
      <c r="C72" s="79" t="s">
        <v>4</v>
      </c>
      <c r="D72" s="79" t="s">
        <v>4</v>
      </c>
      <c r="E72" s="79" t="s">
        <v>4</v>
      </c>
      <c r="F72" s="79" t="s">
        <v>4</v>
      </c>
      <c r="G72" s="79" t="s">
        <v>4</v>
      </c>
      <c r="H72" s="79" t="s">
        <v>4</v>
      </c>
      <c r="I72" s="79" t="s">
        <v>4</v>
      </c>
      <c r="J72" s="79" t="s">
        <v>4</v>
      </c>
      <c r="K72" s="79" t="s">
        <v>4</v>
      </c>
      <c r="L72" s="79" t="s">
        <v>4</v>
      </c>
      <c r="M72" s="79" t="s">
        <v>10</v>
      </c>
      <c r="N72" s="81" t="s">
        <v>12</v>
      </c>
      <c r="O72" s="82">
        <v>0</v>
      </c>
      <c r="P72" s="82">
        <v>0</v>
      </c>
      <c r="Q72" s="82">
        <v>500</v>
      </c>
      <c r="R72" s="171">
        <f>Table4[[#This Row],[Late]]+Table4[[#This Row],[Excused Absence]]+Table4[[#This Row],[Unexcused Absence]]</f>
        <v>500</v>
      </c>
      <c r="S72" s="178">
        <v>1</v>
      </c>
      <c r="T72" s="171" t="s">
        <v>149</v>
      </c>
    </row>
    <row r="73" spans="1:20" ht="19.5" customHeight="1">
      <c r="A73" s="76" t="s">
        <v>96</v>
      </c>
      <c r="B73" s="76" t="s">
        <v>106</v>
      </c>
      <c r="C73" s="79" t="s">
        <v>4</v>
      </c>
      <c r="D73" s="79" t="s">
        <v>4</v>
      </c>
      <c r="E73" s="79" t="s">
        <v>10</v>
      </c>
      <c r="F73" s="79" t="s">
        <v>10</v>
      </c>
      <c r="G73" s="80" t="s">
        <v>4</v>
      </c>
      <c r="H73" s="79" t="s">
        <v>6</v>
      </c>
      <c r="I73" s="79" t="s">
        <v>4</v>
      </c>
      <c r="J73" s="79" t="s">
        <v>4</v>
      </c>
      <c r="K73" s="79" t="s">
        <v>4</v>
      </c>
      <c r="L73" s="79" t="s">
        <v>10</v>
      </c>
      <c r="M73" s="79" t="s">
        <v>4</v>
      </c>
      <c r="N73" s="81" t="s">
        <v>12</v>
      </c>
      <c r="O73" s="82">
        <v>300</v>
      </c>
      <c r="P73" s="82">
        <v>0</v>
      </c>
      <c r="Q73" s="82">
        <v>1500</v>
      </c>
      <c r="R73" s="171">
        <f>Table4[[#This Row],[Late]]+Table4[[#This Row],[Excused Absence]]+Table4[[#This Row],[Unexcused Absence]]</f>
        <v>1800</v>
      </c>
      <c r="S73" s="178">
        <v>3</v>
      </c>
      <c r="T73" s="171" t="s">
        <v>149</v>
      </c>
    </row>
    <row r="74" spans="1:20" ht="19.5" customHeight="1">
      <c r="A74" s="86" t="s">
        <v>37</v>
      </c>
      <c r="B74" s="86" t="s">
        <v>106</v>
      </c>
      <c r="C74" s="87" t="s">
        <v>4</v>
      </c>
      <c r="D74" s="87" t="s">
        <v>4</v>
      </c>
      <c r="E74" s="87" t="s">
        <v>4</v>
      </c>
      <c r="F74" s="87" t="s">
        <v>4</v>
      </c>
      <c r="G74" s="88" t="s">
        <v>4</v>
      </c>
      <c r="H74" s="87" t="s">
        <v>4</v>
      </c>
      <c r="I74" s="87" t="s">
        <v>4</v>
      </c>
      <c r="J74" s="87" t="s">
        <v>4</v>
      </c>
      <c r="K74" s="87" t="s">
        <v>8</v>
      </c>
      <c r="L74" s="87" t="s">
        <v>4</v>
      </c>
      <c r="M74" s="87" t="s">
        <v>4</v>
      </c>
      <c r="N74" s="89" t="s">
        <v>16</v>
      </c>
      <c r="O74" s="90">
        <v>0</v>
      </c>
      <c r="P74" s="90">
        <v>0</v>
      </c>
      <c r="Q74" s="90">
        <v>0</v>
      </c>
      <c r="R74" s="171">
        <f>Table4[[#This Row],[Late]]+Table4[[#This Row],[Excused Absence]]+Table4[[#This Row],[Unexcused Absence]]</f>
        <v>0</v>
      </c>
      <c r="S74" s="178">
        <v>0</v>
      </c>
      <c r="T74" s="171" t="s">
        <v>148</v>
      </c>
    </row>
    <row r="75" spans="1:20" ht="19.5" customHeight="1"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61"/>
      <c r="P75" s="61"/>
      <c r="Q75" s="61"/>
    </row>
    <row r="76" spans="1:20" ht="19.5" customHeight="1"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56"/>
      <c r="P76" s="56"/>
      <c r="Q76" s="56"/>
    </row>
    <row r="77" spans="1:20" ht="19.5" customHeight="1"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56"/>
      <c r="P77" s="56"/>
      <c r="Q77" s="56"/>
    </row>
    <row r="78" spans="1:20" ht="19.5" customHeight="1"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56"/>
      <c r="P78" s="56"/>
      <c r="Q78" s="56"/>
    </row>
    <row r="79" spans="1:20" ht="19.5" customHeight="1"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56"/>
      <c r="P79" s="56"/>
      <c r="Q79" s="56"/>
    </row>
    <row r="80" spans="1:20" ht="19.5" customHeight="1"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56"/>
      <c r="P80" s="56"/>
      <c r="Q80" s="56"/>
    </row>
    <row r="81" spans="3:17" ht="19.5" customHeight="1"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56"/>
      <c r="P81" s="56"/>
      <c r="Q81" s="56"/>
    </row>
    <row r="82" spans="3:17" ht="19.5" customHeight="1"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56"/>
      <c r="P82" s="56"/>
      <c r="Q82" s="56"/>
    </row>
    <row r="83" spans="3:17" ht="19.5" customHeight="1"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56"/>
      <c r="P83" s="56"/>
      <c r="Q83" s="56"/>
    </row>
    <row r="84" spans="3:17" ht="19.5" customHeight="1"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56"/>
      <c r="P84" s="56"/>
      <c r="Q84" s="56"/>
    </row>
    <row r="85" spans="3:17" ht="19.5" customHeight="1"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56"/>
      <c r="P85" s="56"/>
      <c r="Q85" s="56"/>
    </row>
    <row r="86" spans="3:17" ht="19.5" customHeight="1"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56"/>
      <c r="P86" s="56"/>
      <c r="Q86" s="56"/>
    </row>
    <row r="87" spans="3:17" ht="19.5" customHeight="1"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56"/>
      <c r="P87" s="56"/>
      <c r="Q87" s="56"/>
    </row>
    <row r="88" spans="3:17" ht="19.5" customHeight="1"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56"/>
      <c r="P88" s="56"/>
      <c r="Q88" s="56"/>
    </row>
    <row r="89" spans="3:17" ht="19.5" customHeight="1"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56"/>
      <c r="P89" s="56"/>
      <c r="Q89" s="56"/>
    </row>
    <row r="90" spans="3:17" ht="19.5" customHeight="1"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56"/>
      <c r="P90" s="56"/>
      <c r="Q90" s="56"/>
    </row>
    <row r="91" spans="3:17" ht="19.5" customHeight="1"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56"/>
      <c r="P91" s="56"/>
      <c r="Q91" s="56"/>
    </row>
    <row r="92" spans="3:17" ht="19.5" customHeight="1"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56"/>
      <c r="P92" s="56"/>
      <c r="Q92" s="56"/>
    </row>
    <row r="93" spans="3:17" ht="19.5" customHeight="1"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56"/>
      <c r="P93" s="56"/>
      <c r="Q93" s="56"/>
    </row>
    <row r="94" spans="3:17" ht="19.5" customHeight="1"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56"/>
      <c r="P94" s="56"/>
      <c r="Q94" s="56"/>
    </row>
    <row r="95" spans="3:17" ht="19.5" customHeight="1"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56"/>
      <c r="P95" s="56"/>
      <c r="Q95" s="56"/>
    </row>
    <row r="96" spans="3:17" ht="19.5" customHeight="1"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56"/>
      <c r="P96" s="56"/>
      <c r="Q96" s="56"/>
    </row>
    <row r="97" spans="3:17" ht="19.5" customHeight="1"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56"/>
      <c r="P97" s="56"/>
      <c r="Q97" s="56"/>
    </row>
    <row r="98" spans="3:17" ht="19.5" customHeight="1"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56"/>
      <c r="P98" s="56"/>
      <c r="Q98" s="56"/>
    </row>
    <row r="99" spans="3:17" ht="19.5" customHeight="1"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56"/>
      <c r="P99" s="56"/>
      <c r="Q99" s="56"/>
    </row>
    <row r="100" spans="3:17" ht="19.5" customHeight="1"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56"/>
      <c r="P100" s="56"/>
      <c r="Q100" s="56"/>
    </row>
    <row r="101" spans="3:17" ht="19.5" customHeight="1"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56"/>
      <c r="P101" s="56"/>
      <c r="Q101" s="56"/>
    </row>
    <row r="102" spans="3:17" ht="19.5" customHeight="1"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56"/>
      <c r="P102" s="56"/>
      <c r="Q102" s="56"/>
    </row>
    <row r="103" spans="3:17" ht="19.5" customHeight="1"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56"/>
      <c r="P103" s="56"/>
      <c r="Q103" s="56"/>
    </row>
    <row r="104" spans="3:17" ht="19.5" customHeight="1"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56"/>
      <c r="P104" s="56"/>
      <c r="Q104" s="56"/>
    </row>
    <row r="105" spans="3:17" ht="19.5" customHeight="1"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56"/>
      <c r="P105" s="56"/>
      <c r="Q105" s="56"/>
    </row>
    <row r="106" spans="3:17" ht="19.5" customHeight="1"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56"/>
      <c r="P106" s="56"/>
      <c r="Q106" s="56"/>
    </row>
    <row r="107" spans="3:17" ht="19.5" customHeight="1"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56"/>
      <c r="P107" s="56"/>
      <c r="Q107" s="56"/>
    </row>
    <row r="108" spans="3:17" ht="19.5" customHeight="1"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56"/>
      <c r="P108" s="56"/>
      <c r="Q108" s="56"/>
    </row>
    <row r="109" spans="3:17" ht="19.5" customHeight="1"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56"/>
      <c r="P109" s="56"/>
      <c r="Q109" s="56"/>
    </row>
    <row r="110" spans="3:17" ht="19.5" customHeight="1"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56"/>
      <c r="P110" s="56"/>
      <c r="Q110" s="56"/>
    </row>
    <row r="111" spans="3:17" ht="19.5" customHeight="1"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56"/>
      <c r="P111" s="56"/>
      <c r="Q111" s="56"/>
    </row>
    <row r="112" spans="3:17" ht="19.5" customHeight="1"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56"/>
      <c r="P112" s="56"/>
      <c r="Q112" s="56"/>
    </row>
    <row r="113" spans="3:17" ht="19.5" customHeight="1"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56"/>
      <c r="P113" s="56"/>
      <c r="Q113" s="56"/>
    </row>
    <row r="114" spans="3:17" ht="19.5" customHeight="1"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56"/>
      <c r="P114" s="56"/>
      <c r="Q114" s="56"/>
    </row>
    <row r="115" spans="3:17" ht="19.5" customHeight="1"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56"/>
      <c r="P115" s="56"/>
      <c r="Q115" s="56"/>
    </row>
    <row r="116" spans="3:17" ht="19.5" customHeight="1"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56"/>
      <c r="P116" s="56"/>
      <c r="Q116" s="56"/>
    </row>
    <row r="117" spans="3:17" ht="19.5" customHeight="1"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56"/>
      <c r="P117" s="56"/>
      <c r="Q117" s="56"/>
    </row>
    <row r="118" spans="3:17" ht="19.5" customHeight="1"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56"/>
      <c r="P118" s="56"/>
      <c r="Q118" s="56"/>
    </row>
    <row r="119" spans="3:17" ht="19.5" customHeight="1"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56"/>
      <c r="P119" s="56"/>
      <c r="Q119" s="56"/>
    </row>
    <row r="120" spans="3:17" ht="19.5" customHeight="1"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56"/>
      <c r="P120" s="56"/>
      <c r="Q120" s="56"/>
    </row>
    <row r="121" spans="3:17" ht="19.5" customHeight="1"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56"/>
      <c r="P121" s="56"/>
      <c r="Q121" s="56"/>
    </row>
    <row r="122" spans="3:17" ht="19.5" customHeight="1"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56"/>
      <c r="P122" s="56"/>
      <c r="Q122" s="56"/>
    </row>
    <row r="123" spans="3:17" ht="19.5" customHeight="1"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56"/>
      <c r="P123" s="56"/>
      <c r="Q123" s="56"/>
    </row>
    <row r="124" spans="3:17" ht="19.5" customHeight="1"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56"/>
      <c r="P124" s="56"/>
      <c r="Q124" s="56"/>
    </row>
    <row r="125" spans="3:17" ht="19.5" customHeight="1"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56"/>
      <c r="P125" s="56"/>
      <c r="Q125" s="56"/>
    </row>
    <row r="126" spans="3:17" ht="19.5" customHeight="1"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56"/>
      <c r="P126" s="56"/>
      <c r="Q126" s="56"/>
    </row>
    <row r="127" spans="3:17" ht="19.5" customHeight="1"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56"/>
      <c r="P127" s="56"/>
      <c r="Q127" s="56"/>
    </row>
    <row r="128" spans="3:17" ht="19.5" customHeight="1"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56"/>
      <c r="P128" s="56"/>
      <c r="Q128" s="56"/>
    </row>
    <row r="129" spans="3:17" ht="19.5" customHeight="1"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56"/>
      <c r="P129" s="56"/>
      <c r="Q129" s="56"/>
    </row>
    <row r="130" spans="3:17" ht="19.5" customHeight="1"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56"/>
      <c r="P130" s="56"/>
      <c r="Q130" s="56"/>
    </row>
    <row r="131" spans="3:17" ht="19.5" customHeight="1"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56"/>
      <c r="P131" s="56"/>
      <c r="Q131" s="56"/>
    </row>
    <row r="132" spans="3:17" ht="19.5" customHeight="1"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56"/>
      <c r="P132" s="56"/>
      <c r="Q132" s="56"/>
    </row>
    <row r="133" spans="3:17" ht="19.5" customHeight="1"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56"/>
      <c r="P133" s="56"/>
      <c r="Q133" s="56"/>
    </row>
    <row r="134" spans="3:17" ht="19.5" customHeight="1"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56"/>
      <c r="P134" s="56"/>
      <c r="Q134" s="56"/>
    </row>
    <row r="135" spans="3:17" ht="19.5" customHeight="1"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56"/>
      <c r="P135" s="56"/>
      <c r="Q135" s="56"/>
    </row>
    <row r="136" spans="3:17" ht="19.5" customHeight="1"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56"/>
      <c r="P136" s="56"/>
      <c r="Q136" s="56"/>
    </row>
    <row r="137" spans="3:17" ht="19.5" customHeight="1"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56"/>
      <c r="P137" s="56"/>
      <c r="Q137" s="56"/>
    </row>
    <row r="138" spans="3:17" ht="19.5" customHeight="1"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56"/>
      <c r="P138" s="56"/>
      <c r="Q138" s="56"/>
    </row>
    <row r="139" spans="3:17" ht="19.5" customHeight="1"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56"/>
      <c r="P139" s="56"/>
      <c r="Q139" s="56"/>
    </row>
    <row r="140" spans="3:17" ht="19.5" customHeight="1"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56"/>
      <c r="P140" s="56"/>
      <c r="Q140" s="56"/>
    </row>
    <row r="141" spans="3:17" ht="19.5" customHeight="1"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56"/>
      <c r="P141" s="56"/>
      <c r="Q141" s="56"/>
    </row>
    <row r="142" spans="3:17" ht="19.5" customHeight="1"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56"/>
      <c r="P142" s="56"/>
      <c r="Q142" s="56"/>
    </row>
    <row r="143" spans="3:17" ht="19.5" customHeight="1"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56"/>
      <c r="P143" s="56"/>
      <c r="Q143" s="56"/>
    </row>
    <row r="144" spans="3:17" ht="19.5" customHeight="1"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56"/>
      <c r="P144" s="56"/>
      <c r="Q144" s="56"/>
    </row>
    <row r="145" spans="3:17" ht="19.5" customHeight="1"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56"/>
      <c r="P145" s="56"/>
      <c r="Q145" s="56"/>
    </row>
    <row r="146" spans="3:17" ht="19.5" customHeight="1"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56"/>
      <c r="P146" s="56"/>
      <c r="Q146" s="56"/>
    </row>
    <row r="147" spans="3:17" ht="19.5" customHeight="1"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56"/>
      <c r="P147" s="56"/>
      <c r="Q147" s="56"/>
    </row>
    <row r="148" spans="3:17" ht="19.5" customHeight="1"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56"/>
      <c r="P148" s="56"/>
      <c r="Q148" s="56"/>
    </row>
    <row r="149" spans="3:17" ht="19.5" customHeight="1"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56"/>
      <c r="P149" s="56"/>
      <c r="Q149" s="56"/>
    </row>
    <row r="150" spans="3:17" ht="19.5" customHeight="1"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56"/>
      <c r="P150" s="56"/>
      <c r="Q150" s="56"/>
    </row>
    <row r="151" spans="3:17" ht="19.5" customHeight="1"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56"/>
      <c r="P151" s="56"/>
      <c r="Q151" s="56"/>
    </row>
    <row r="152" spans="3:17" ht="19.5" customHeight="1"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56"/>
      <c r="P152" s="56"/>
      <c r="Q152" s="56"/>
    </row>
    <row r="153" spans="3:17" ht="19.5" customHeight="1"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56"/>
      <c r="P153" s="56"/>
      <c r="Q153" s="56"/>
    </row>
    <row r="154" spans="3:17" ht="19.5" customHeight="1"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56"/>
      <c r="P154" s="56"/>
      <c r="Q154" s="56"/>
    </row>
    <row r="155" spans="3:17" ht="19.5" customHeight="1"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56"/>
      <c r="P155" s="56"/>
      <c r="Q155" s="56"/>
    </row>
    <row r="156" spans="3:17" ht="19.5" customHeight="1"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56"/>
      <c r="P156" s="56"/>
      <c r="Q156" s="56"/>
    </row>
    <row r="157" spans="3:17" ht="19.5" customHeight="1"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56"/>
      <c r="P157" s="56"/>
      <c r="Q157" s="56"/>
    </row>
    <row r="158" spans="3:17" ht="19.5" customHeight="1"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56"/>
      <c r="P158" s="56"/>
      <c r="Q158" s="56"/>
    </row>
    <row r="159" spans="3:17" ht="19.5" customHeight="1"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56"/>
      <c r="P159" s="56"/>
      <c r="Q159" s="56"/>
    </row>
    <row r="160" spans="3:17" ht="19.5" customHeight="1"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56"/>
      <c r="P160" s="56"/>
      <c r="Q160" s="56"/>
    </row>
    <row r="161" spans="3:17" ht="19.5" customHeight="1"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56"/>
      <c r="P161" s="56"/>
      <c r="Q161" s="56"/>
    </row>
    <row r="162" spans="3:17" ht="19.5" customHeight="1"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56"/>
      <c r="P162" s="56"/>
      <c r="Q162" s="56"/>
    </row>
    <row r="163" spans="3:17" ht="19.5" customHeight="1"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56"/>
      <c r="P163" s="56"/>
      <c r="Q163" s="56"/>
    </row>
    <row r="164" spans="3:17" ht="19.5" customHeight="1"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56"/>
      <c r="P164" s="56"/>
      <c r="Q164" s="56"/>
    </row>
    <row r="165" spans="3:17" ht="19.5" customHeight="1"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56"/>
      <c r="P165" s="56"/>
      <c r="Q165" s="56"/>
    </row>
    <row r="166" spans="3:17" ht="19.5" customHeight="1"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56"/>
      <c r="P166" s="56"/>
      <c r="Q166" s="56"/>
    </row>
    <row r="167" spans="3:17" ht="19.5" customHeight="1"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56"/>
      <c r="P167" s="56"/>
      <c r="Q167" s="56"/>
    </row>
    <row r="168" spans="3:17" ht="19.5" customHeight="1"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56"/>
      <c r="P168" s="56"/>
      <c r="Q168" s="56"/>
    </row>
    <row r="169" spans="3:17" ht="19.5" customHeight="1"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56"/>
      <c r="P169" s="56"/>
      <c r="Q169" s="56"/>
    </row>
    <row r="170" spans="3:17" ht="19.5" customHeight="1"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56"/>
      <c r="P170" s="56"/>
      <c r="Q170" s="56"/>
    </row>
    <row r="171" spans="3:17" ht="19.5" customHeight="1"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56"/>
      <c r="P171" s="56"/>
      <c r="Q171" s="56"/>
    </row>
    <row r="172" spans="3:17" ht="19.5" customHeight="1"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56"/>
      <c r="P172" s="56"/>
      <c r="Q172" s="56"/>
    </row>
    <row r="173" spans="3:17" ht="19.5" customHeight="1"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56"/>
      <c r="P173" s="56"/>
      <c r="Q173" s="56"/>
    </row>
    <row r="174" spans="3:17" ht="19.5" customHeight="1"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56"/>
      <c r="P174" s="56"/>
      <c r="Q174" s="56"/>
    </row>
    <row r="175" spans="3:17" ht="19.5" customHeight="1"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56"/>
      <c r="P175" s="56"/>
      <c r="Q175" s="56"/>
    </row>
    <row r="176" spans="3:17" ht="19.5" customHeight="1"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56"/>
      <c r="P176" s="56"/>
      <c r="Q176" s="56"/>
    </row>
    <row r="177" spans="3:17" ht="19.5" customHeight="1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56"/>
      <c r="P177" s="56"/>
      <c r="Q177" s="56"/>
    </row>
    <row r="178" spans="3:17" ht="19.5" customHeight="1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56"/>
      <c r="P178" s="56"/>
      <c r="Q178" s="56"/>
    </row>
    <row r="179" spans="3:17" ht="19.5" customHeight="1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56"/>
      <c r="P179" s="56"/>
      <c r="Q179" s="56"/>
    </row>
    <row r="180" spans="3:17" ht="19.5" customHeight="1"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56"/>
      <c r="P180" s="56"/>
      <c r="Q180" s="56"/>
    </row>
    <row r="181" spans="3:17" ht="19.5" customHeight="1"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56"/>
      <c r="P181" s="56"/>
      <c r="Q181" s="56"/>
    </row>
    <row r="182" spans="3:17" ht="19.5" customHeight="1"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56"/>
      <c r="P182" s="56"/>
      <c r="Q182" s="56"/>
    </row>
    <row r="183" spans="3:17" ht="19.5" customHeight="1"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56"/>
      <c r="P183" s="56"/>
      <c r="Q183" s="56"/>
    </row>
    <row r="184" spans="3:17" ht="19.5" customHeight="1"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56"/>
      <c r="P184" s="56"/>
      <c r="Q184" s="56"/>
    </row>
    <row r="185" spans="3:17" ht="19.5" customHeight="1"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56"/>
      <c r="P185" s="56"/>
      <c r="Q185" s="56"/>
    </row>
    <row r="186" spans="3:17" ht="19.5" customHeight="1"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56"/>
      <c r="P186" s="56"/>
      <c r="Q186" s="56"/>
    </row>
    <row r="187" spans="3:17" ht="19.5" customHeight="1"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56"/>
      <c r="P187" s="56"/>
      <c r="Q187" s="56"/>
    </row>
    <row r="188" spans="3:17" ht="19.5" customHeight="1"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56"/>
      <c r="P188" s="56"/>
      <c r="Q188" s="56"/>
    </row>
    <row r="189" spans="3:17" ht="19.5" customHeight="1"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56"/>
      <c r="P189" s="56"/>
      <c r="Q189" s="56"/>
    </row>
    <row r="190" spans="3:17" ht="19.5" customHeight="1"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56"/>
      <c r="P190" s="56"/>
      <c r="Q190" s="56"/>
    </row>
    <row r="191" spans="3:17" ht="19.5" customHeight="1"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56"/>
      <c r="P191" s="56"/>
      <c r="Q191" s="56"/>
    </row>
    <row r="192" spans="3:17" ht="19.5" customHeight="1"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56"/>
      <c r="P192" s="56"/>
      <c r="Q192" s="56"/>
    </row>
    <row r="193" spans="3:17" ht="19.5" customHeight="1"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56"/>
      <c r="P193" s="56"/>
      <c r="Q193" s="56"/>
    </row>
    <row r="194" spans="3:17" ht="19.5" customHeight="1"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56"/>
      <c r="P194" s="56"/>
      <c r="Q194" s="56"/>
    </row>
    <row r="195" spans="3:17" ht="19.5" customHeight="1"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56"/>
      <c r="P195" s="56"/>
      <c r="Q195" s="56"/>
    </row>
    <row r="196" spans="3:17" ht="19.5" customHeight="1"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56"/>
      <c r="P196" s="56"/>
      <c r="Q196" s="56"/>
    </row>
    <row r="197" spans="3:17" ht="19.5" customHeight="1"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56"/>
      <c r="P197" s="56"/>
      <c r="Q197" s="56"/>
    </row>
    <row r="198" spans="3:17" ht="19.5" customHeight="1"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56"/>
      <c r="P198" s="56"/>
      <c r="Q198" s="56"/>
    </row>
    <row r="199" spans="3:17" ht="19.5" customHeight="1"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56"/>
      <c r="P199" s="56"/>
      <c r="Q199" s="56"/>
    </row>
    <row r="200" spans="3:17" ht="19.5" customHeight="1"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56"/>
      <c r="P200" s="56"/>
      <c r="Q200" s="56"/>
    </row>
    <row r="201" spans="3:17" ht="19.5" customHeight="1"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56"/>
      <c r="P201" s="56"/>
      <c r="Q201" s="56"/>
    </row>
    <row r="202" spans="3:17" ht="19.5" customHeight="1"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56"/>
      <c r="P202" s="56"/>
      <c r="Q202" s="56"/>
    </row>
    <row r="203" spans="3:17" ht="19.5" customHeight="1"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56"/>
      <c r="P203" s="56"/>
      <c r="Q203" s="56"/>
    </row>
    <row r="204" spans="3:17" ht="19.5" customHeight="1"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56"/>
      <c r="P204" s="56"/>
      <c r="Q204" s="56"/>
    </row>
    <row r="205" spans="3:17" ht="19.5" customHeight="1"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56"/>
      <c r="P205" s="56"/>
      <c r="Q205" s="56"/>
    </row>
    <row r="206" spans="3:17" ht="19.5" customHeight="1"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56"/>
      <c r="P206" s="56"/>
      <c r="Q206" s="56"/>
    </row>
    <row r="207" spans="3:17" ht="19.5" customHeight="1"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56"/>
      <c r="P207" s="56"/>
      <c r="Q207" s="56"/>
    </row>
    <row r="208" spans="3:17" ht="19.5" customHeight="1"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56"/>
      <c r="P208" s="56"/>
      <c r="Q208" s="56"/>
    </row>
    <row r="209" spans="3:17" ht="19.5" customHeight="1"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56"/>
      <c r="P209" s="56"/>
      <c r="Q209" s="56"/>
    </row>
    <row r="210" spans="3:17" ht="19.5" customHeight="1"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56"/>
      <c r="P210" s="56"/>
      <c r="Q210" s="56"/>
    </row>
    <row r="211" spans="3:17" ht="19.5" customHeight="1"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56"/>
      <c r="P211" s="56"/>
      <c r="Q211" s="56"/>
    </row>
    <row r="212" spans="3:17" ht="19.5" customHeight="1"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56"/>
      <c r="P212" s="56"/>
      <c r="Q212" s="56"/>
    </row>
    <row r="213" spans="3:17" ht="19.5" customHeight="1"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56"/>
      <c r="P213" s="56"/>
      <c r="Q213" s="56"/>
    </row>
    <row r="214" spans="3:17" ht="19.5" customHeight="1"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56"/>
      <c r="P214" s="56"/>
      <c r="Q214" s="56"/>
    </row>
    <row r="215" spans="3:17" ht="19.5" customHeight="1"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56"/>
      <c r="P215" s="56"/>
      <c r="Q215" s="56"/>
    </row>
    <row r="216" spans="3:17" ht="19.5" customHeight="1"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56"/>
      <c r="P216" s="56"/>
      <c r="Q216" s="56"/>
    </row>
    <row r="217" spans="3:17" ht="19.5" customHeight="1"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56"/>
      <c r="P217" s="56"/>
      <c r="Q217" s="56"/>
    </row>
    <row r="218" spans="3:17" ht="19.5" customHeight="1"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56"/>
      <c r="P218" s="56"/>
      <c r="Q218" s="56"/>
    </row>
    <row r="219" spans="3:17" ht="19.5" customHeight="1"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56"/>
      <c r="P219" s="56"/>
      <c r="Q219" s="56"/>
    </row>
    <row r="220" spans="3:17" ht="19.5" customHeight="1"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56"/>
      <c r="P220" s="56"/>
      <c r="Q220" s="56"/>
    </row>
    <row r="221" spans="3:17" ht="19.5" customHeight="1"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56"/>
      <c r="P221" s="56"/>
      <c r="Q221" s="56"/>
    </row>
    <row r="222" spans="3:17" ht="19.5" customHeight="1"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56"/>
      <c r="P222" s="56"/>
      <c r="Q222" s="56"/>
    </row>
    <row r="223" spans="3:17" ht="19.5" customHeight="1"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56"/>
      <c r="P223" s="56"/>
      <c r="Q223" s="56"/>
    </row>
    <row r="224" spans="3:17" ht="19.5" customHeight="1"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56"/>
      <c r="P224" s="56"/>
      <c r="Q224" s="56"/>
    </row>
    <row r="225" spans="3:17" ht="19.5" customHeight="1"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56"/>
      <c r="P225" s="56"/>
      <c r="Q225" s="56"/>
    </row>
    <row r="226" spans="3:17" ht="19.5" customHeight="1"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56"/>
      <c r="P226" s="56"/>
      <c r="Q226" s="56"/>
    </row>
    <row r="227" spans="3:17" ht="19.5" customHeight="1"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56"/>
      <c r="P227" s="56"/>
      <c r="Q227" s="56"/>
    </row>
    <row r="228" spans="3:17" ht="19.5" customHeight="1"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56"/>
      <c r="P228" s="56"/>
      <c r="Q228" s="56"/>
    </row>
    <row r="229" spans="3:17" ht="19.5" customHeight="1"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56"/>
      <c r="P229" s="56"/>
      <c r="Q229" s="56"/>
    </row>
    <row r="230" spans="3:17" ht="19.5" customHeight="1"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56"/>
      <c r="P230" s="56"/>
      <c r="Q230" s="56"/>
    </row>
    <row r="231" spans="3:17" ht="19.5" customHeight="1"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56"/>
      <c r="P231" s="56"/>
      <c r="Q231" s="56"/>
    </row>
    <row r="232" spans="3:17" ht="19.5" customHeight="1"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56"/>
      <c r="P232" s="56"/>
      <c r="Q232" s="56"/>
    </row>
    <row r="233" spans="3:17" ht="19.5" customHeight="1"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56"/>
      <c r="P233" s="56"/>
      <c r="Q233" s="56"/>
    </row>
    <row r="234" spans="3:17" ht="19.5" customHeight="1"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56"/>
      <c r="P234" s="56"/>
      <c r="Q234" s="56"/>
    </row>
    <row r="235" spans="3:17" ht="19.5" customHeight="1"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56"/>
      <c r="P235" s="56"/>
      <c r="Q235" s="56"/>
    </row>
    <row r="236" spans="3:17" ht="19.5" customHeight="1"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56"/>
      <c r="P236" s="56"/>
      <c r="Q236" s="56"/>
    </row>
    <row r="237" spans="3:17" ht="19.5" customHeight="1"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56"/>
      <c r="P237" s="56"/>
      <c r="Q237" s="56"/>
    </row>
    <row r="238" spans="3:17" ht="19.5" customHeight="1"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56"/>
      <c r="P238" s="56"/>
      <c r="Q238" s="56"/>
    </row>
    <row r="239" spans="3:17" ht="19.5" customHeight="1"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56"/>
      <c r="P239" s="56"/>
      <c r="Q239" s="56"/>
    </row>
    <row r="240" spans="3:17" ht="19.5" customHeight="1"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56"/>
      <c r="P240" s="56"/>
      <c r="Q240" s="56"/>
    </row>
    <row r="241" spans="3:17" ht="19.5" customHeight="1"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56"/>
      <c r="P241" s="56"/>
      <c r="Q241" s="56"/>
    </row>
    <row r="242" spans="3:17" ht="19.5" customHeight="1"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56"/>
      <c r="P242" s="56"/>
      <c r="Q242" s="56"/>
    </row>
    <row r="243" spans="3:17" ht="19.5" customHeight="1"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56"/>
      <c r="P243" s="56"/>
      <c r="Q243" s="56"/>
    </row>
    <row r="244" spans="3:17" ht="19.5" customHeight="1"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56"/>
      <c r="P244" s="56"/>
      <c r="Q244" s="56"/>
    </row>
    <row r="245" spans="3:17" ht="19.5" customHeight="1"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56"/>
      <c r="P245" s="56"/>
      <c r="Q245" s="56"/>
    </row>
    <row r="246" spans="3:17" ht="19.5" customHeight="1"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56"/>
      <c r="P246" s="56"/>
      <c r="Q246" s="56"/>
    </row>
    <row r="247" spans="3:17" ht="19.5" customHeight="1"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56"/>
      <c r="P247" s="56"/>
      <c r="Q247" s="56"/>
    </row>
    <row r="248" spans="3:17" ht="19.5" customHeight="1"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56"/>
      <c r="P248" s="56"/>
      <c r="Q248" s="56"/>
    </row>
    <row r="249" spans="3:17" ht="19.5" customHeight="1"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56"/>
      <c r="P249" s="56"/>
      <c r="Q249" s="56"/>
    </row>
    <row r="250" spans="3:17" ht="19.5" customHeight="1"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56"/>
      <c r="P250" s="56"/>
      <c r="Q250" s="56"/>
    </row>
    <row r="251" spans="3:17" ht="19.5" customHeight="1"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56"/>
      <c r="P251" s="56"/>
      <c r="Q251" s="56"/>
    </row>
    <row r="252" spans="3:17" ht="19.5" customHeight="1"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56"/>
      <c r="P252" s="56"/>
      <c r="Q252" s="56"/>
    </row>
    <row r="253" spans="3:17" ht="19.5" customHeight="1"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56"/>
      <c r="P253" s="56"/>
      <c r="Q253" s="56"/>
    </row>
    <row r="254" spans="3:17" ht="19.5" customHeight="1"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56"/>
      <c r="P254" s="56"/>
      <c r="Q254" s="56"/>
    </row>
    <row r="255" spans="3:17" ht="19.5" customHeight="1"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56"/>
      <c r="P255" s="56"/>
      <c r="Q255" s="56"/>
    </row>
    <row r="256" spans="3:17" ht="19.5" customHeight="1"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56"/>
      <c r="P256" s="56"/>
      <c r="Q256" s="56"/>
    </row>
    <row r="257" spans="3:17" ht="19.5" customHeight="1"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56"/>
      <c r="P257" s="56"/>
      <c r="Q257" s="56"/>
    </row>
    <row r="258" spans="3:17" ht="19.5" customHeight="1"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56"/>
      <c r="P258" s="56"/>
      <c r="Q258" s="56"/>
    </row>
    <row r="259" spans="3:17" ht="19.5" customHeight="1"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56"/>
      <c r="P259" s="56"/>
      <c r="Q259" s="56"/>
    </row>
    <row r="260" spans="3:17" ht="19.5" customHeight="1"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56"/>
      <c r="P260" s="56"/>
      <c r="Q260" s="56"/>
    </row>
    <row r="261" spans="3:17" ht="19.5" customHeight="1"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56"/>
      <c r="P261" s="56"/>
      <c r="Q261" s="56"/>
    </row>
    <row r="262" spans="3:17" ht="19.5" customHeight="1"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56"/>
      <c r="P262" s="56"/>
      <c r="Q262" s="56"/>
    </row>
    <row r="263" spans="3:17" ht="19.5" customHeight="1"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56"/>
      <c r="P263" s="56"/>
      <c r="Q263" s="56"/>
    </row>
    <row r="264" spans="3:17" ht="19.5" customHeight="1"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56"/>
      <c r="P264" s="56"/>
      <c r="Q264" s="56"/>
    </row>
    <row r="265" spans="3:17" ht="19.5" customHeight="1"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56"/>
      <c r="P265" s="56"/>
      <c r="Q265" s="56"/>
    </row>
    <row r="266" spans="3:17" ht="19.5" customHeight="1"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56"/>
      <c r="P266" s="56"/>
      <c r="Q266" s="56"/>
    </row>
    <row r="267" spans="3:17" ht="19.5" customHeight="1"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56"/>
      <c r="P267" s="56"/>
      <c r="Q267" s="56"/>
    </row>
    <row r="268" spans="3:17" ht="19.5" customHeight="1"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56"/>
      <c r="P268" s="56"/>
      <c r="Q268" s="56"/>
    </row>
    <row r="269" spans="3:17" ht="19.5" customHeight="1"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56"/>
      <c r="P269" s="56"/>
      <c r="Q269" s="56"/>
    </row>
    <row r="270" spans="3:17" ht="19.5" customHeight="1"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56"/>
      <c r="P270" s="56"/>
      <c r="Q270" s="56"/>
    </row>
    <row r="271" spans="3:17" ht="19.5" customHeight="1"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56"/>
      <c r="P271" s="56"/>
      <c r="Q271" s="56"/>
    </row>
    <row r="272" spans="3:17" ht="19.5" customHeight="1"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56"/>
      <c r="P272" s="56"/>
      <c r="Q272" s="56"/>
    </row>
    <row r="273" spans="3:17" ht="19.5" customHeight="1"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56"/>
      <c r="P273" s="56"/>
      <c r="Q273" s="56"/>
    </row>
    <row r="274" spans="3:17" ht="19.5" customHeight="1"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56"/>
      <c r="P274" s="56"/>
      <c r="Q274" s="56"/>
    </row>
    <row r="275" spans="3:17" ht="19.5" customHeight="1"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56"/>
      <c r="P275" s="56"/>
      <c r="Q275" s="56"/>
    </row>
    <row r="276" spans="3:17" ht="19.5" customHeight="1"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56"/>
      <c r="P276" s="56"/>
      <c r="Q276" s="56"/>
    </row>
    <row r="277" spans="3:17" ht="19.5" customHeight="1"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56"/>
      <c r="P277" s="56"/>
      <c r="Q277" s="56"/>
    </row>
    <row r="278" spans="3:17" ht="19.5" customHeight="1"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56"/>
      <c r="P278" s="56"/>
      <c r="Q278" s="56"/>
    </row>
    <row r="279" spans="3:17" ht="19.5" customHeight="1"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56"/>
      <c r="P279" s="56"/>
      <c r="Q279" s="56"/>
    </row>
    <row r="280" spans="3:17" ht="19.5" customHeight="1"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56"/>
      <c r="P280" s="56"/>
      <c r="Q280" s="56"/>
    </row>
    <row r="281" spans="3:17" ht="19.5" customHeight="1"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56"/>
      <c r="P281" s="56"/>
      <c r="Q281" s="56"/>
    </row>
    <row r="282" spans="3:17" ht="19.5" customHeight="1"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56"/>
      <c r="P282" s="56"/>
      <c r="Q282" s="56"/>
    </row>
    <row r="283" spans="3:17" ht="19.5" customHeight="1"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56"/>
      <c r="P283" s="56"/>
      <c r="Q283" s="56"/>
    </row>
    <row r="284" spans="3:17" ht="19.5" customHeight="1"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56"/>
      <c r="P284" s="56"/>
      <c r="Q284" s="56"/>
    </row>
    <row r="285" spans="3:17" ht="19.5" customHeight="1"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56"/>
      <c r="P285" s="56"/>
      <c r="Q285" s="56"/>
    </row>
    <row r="286" spans="3:17" ht="19.5" customHeight="1"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56"/>
      <c r="P286" s="56"/>
      <c r="Q286" s="56"/>
    </row>
    <row r="287" spans="3:17" ht="19.5" customHeight="1"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56"/>
      <c r="P287" s="56"/>
      <c r="Q287" s="56"/>
    </row>
    <row r="288" spans="3:17" ht="19.5" customHeight="1"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56"/>
      <c r="P288" s="56"/>
      <c r="Q288" s="56"/>
    </row>
    <row r="289" spans="3:17" ht="19.5" customHeight="1"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56"/>
      <c r="P289" s="56"/>
      <c r="Q289" s="56"/>
    </row>
    <row r="290" spans="3:17" ht="19.5" customHeight="1"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56"/>
      <c r="P290" s="56"/>
      <c r="Q290" s="56"/>
    </row>
    <row r="291" spans="3:17" ht="19.5" customHeight="1"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56"/>
      <c r="P291" s="56"/>
      <c r="Q291" s="56"/>
    </row>
    <row r="292" spans="3:17" ht="19.5" customHeight="1"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56"/>
      <c r="P292" s="56"/>
      <c r="Q292" s="56"/>
    </row>
    <row r="293" spans="3:17" ht="19.5" customHeight="1"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56"/>
      <c r="P293" s="56"/>
      <c r="Q293" s="56"/>
    </row>
    <row r="294" spans="3:17" ht="19.5" customHeight="1"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56"/>
      <c r="P294" s="56"/>
      <c r="Q294" s="56"/>
    </row>
    <row r="295" spans="3:17" ht="19.5" customHeight="1"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56"/>
      <c r="P295" s="56"/>
      <c r="Q295" s="56"/>
    </row>
    <row r="296" spans="3:17" ht="19.5" customHeight="1"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56"/>
      <c r="P296" s="56"/>
      <c r="Q296" s="56"/>
    </row>
    <row r="297" spans="3:17" ht="19.5" customHeight="1"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56"/>
      <c r="P297" s="56"/>
      <c r="Q297" s="56"/>
    </row>
    <row r="298" spans="3:17" ht="19.5" customHeight="1"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56"/>
      <c r="P298" s="56"/>
      <c r="Q298" s="56"/>
    </row>
    <row r="299" spans="3:17" ht="19.5" customHeight="1"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56"/>
      <c r="P299" s="56"/>
      <c r="Q299" s="56"/>
    </row>
    <row r="300" spans="3:17" ht="19.5" customHeight="1"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56"/>
      <c r="P300" s="56"/>
      <c r="Q300" s="56"/>
    </row>
    <row r="301" spans="3:17" ht="19.5" customHeight="1"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56"/>
      <c r="P301" s="56"/>
      <c r="Q301" s="56"/>
    </row>
    <row r="302" spans="3:17" ht="19.5" customHeight="1"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56"/>
      <c r="P302" s="56"/>
      <c r="Q302" s="56"/>
    </row>
    <row r="303" spans="3:17" ht="19.5" customHeight="1"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56"/>
      <c r="P303" s="56"/>
      <c r="Q303" s="56"/>
    </row>
    <row r="304" spans="3:17" ht="19.5" customHeight="1"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56"/>
      <c r="P304" s="56"/>
      <c r="Q304" s="56"/>
    </row>
    <row r="305" spans="3:17" ht="19.5" customHeight="1"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56"/>
      <c r="P305" s="56"/>
      <c r="Q305" s="56"/>
    </row>
    <row r="306" spans="3:17" ht="19.5" customHeight="1"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56"/>
      <c r="P306" s="56"/>
      <c r="Q306" s="56"/>
    </row>
    <row r="307" spans="3:17" ht="19.5" customHeight="1"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56"/>
      <c r="P307" s="56"/>
      <c r="Q307" s="56"/>
    </row>
    <row r="308" spans="3:17" ht="19.5" customHeight="1"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56"/>
      <c r="P308" s="56"/>
      <c r="Q308" s="56"/>
    </row>
    <row r="309" spans="3:17" ht="19.5" customHeight="1"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56"/>
      <c r="P309" s="56"/>
      <c r="Q309" s="56"/>
    </row>
    <row r="310" spans="3:17" ht="19.5" customHeight="1"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56"/>
      <c r="P310" s="56"/>
      <c r="Q310" s="56"/>
    </row>
    <row r="311" spans="3:17" ht="19.5" customHeight="1"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56"/>
      <c r="P311" s="56"/>
      <c r="Q311" s="56"/>
    </row>
    <row r="312" spans="3:17" ht="19.5" customHeight="1"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56"/>
      <c r="P312" s="56"/>
      <c r="Q312" s="56"/>
    </row>
    <row r="313" spans="3:17" ht="19.5" customHeight="1"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56"/>
      <c r="P313" s="56"/>
      <c r="Q313" s="56"/>
    </row>
    <row r="314" spans="3:17" ht="19.5" customHeight="1"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56"/>
      <c r="P314" s="56"/>
      <c r="Q314" s="56"/>
    </row>
    <row r="315" spans="3:17" ht="19.5" customHeight="1"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56"/>
      <c r="P315" s="56"/>
      <c r="Q315" s="56"/>
    </row>
    <row r="316" spans="3:17" ht="19.5" customHeight="1"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56"/>
      <c r="P316" s="56"/>
      <c r="Q316" s="56"/>
    </row>
    <row r="317" spans="3:17" ht="19.5" customHeight="1"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56"/>
      <c r="P317" s="56"/>
      <c r="Q317" s="56"/>
    </row>
    <row r="318" spans="3:17" ht="19.5" customHeight="1"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56"/>
      <c r="P318" s="56"/>
      <c r="Q318" s="56"/>
    </row>
    <row r="319" spans="3:17" ht="19.5" customHeight="1"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56"/>
      <c r="P319" s="56"/>
      <c r="Q319" s="56"/>
    </row>
    <row r="320" spans="3:17" ht="19.5" customHeight="1"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56"/>
      <c r="P320" s="56"/>
      <c r="Q320" s="56"/>
    </row>
    <row r="321" spans="3:17" ht="19.5" customHeight="1"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56"/>
      <c r="P321" s="56"/>
      <c r="Q321" s="56"/>
    </row>
    <row r="322" spans="3:17" ht="19.5" customHeight="1"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56"/>
      <c r="P322" s="56"/>
      <c r="Q322" s="56"/>
    </row>
    <row r="323" spans="3:17" ht="19.5" customHeight="1"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56"/>
      <c r="P323" s="56"/>
      <c r="Q323" s="56"/>
    </row>
    <row r="324" spans="3:17" ht="19.5" customHeight="1"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56"/>
      <c r="P324" s="56"/>
      <c r="Q324" s="56"/>
    </row>
    <row r="325" spans="3:17" ht="19.5" customHeight="1"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56"/>
      <c r="P325" s="56"/>
      <c r="Q325" s="56"/>
    </row>
    <row r="326" spans="3:17" ht="19.5" customHeight="1"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56"/>
      <c r="P326" s="56"/>
      <c r="Q326" s="56"/>
    </row>
    <row r="327" spans="3:17" ht="19.5" customHeight="1"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56"/>
      <c r="P327" s="56"/>
      <c r="Q327" s="56"/>
    </row>
    <row r="328" spans="3:17" ht="19.5" customHeight="1"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56"/>
      <c r="P328" s="56"/>
      <c r="Q328" s="56"/>
    </row>
    <row r="329" spans="3:17" ht="19.5" customHeight="1"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56"/>
      <c r="P329" s="56"/>
      <c r="Q329" s="56"/>
    </row>
    <row r="330" spans="3:17" ht="19.5" customHeight="1"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56"/>
      <c r="P330" s="56"/>
      <c r="Q330" s="56"/>
    </row>
    <row r="331" spans="3:17" ht="19.5" customHeight="1"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56"/>
      <c r="P331" s="56"/>
      <c r="Q331" s="56"/>
    </row>
    <row r="332" spans="3:17" ht="19.5" customHeight="1"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56"/>
      <c r="P332" s="56"/>
      <c r="Q332" s="56"/>
    </row>
    <row r="333" spans="3:17" ht="19.5" customHeight="1"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56"/>
      <c r="P333" s="56"/>
      <c r="Q333" s="56"/>
    </row>
    <row r="334" spans="3:17" ht="19.5" customHeight="1"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56"/>
      <c r="P334" s="56"/>
      <c r="Q334" s="56"/>
    </row>
    <row r="335" spans="3:17" ht="19.5" customHeight="1"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56"/>
      <c r="P335" s="56"/>
      <c r="Q335" s="56"/>
    </row>
    <row r="336" spans="3:17" ht="19.5" customHeight="1"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56"/>
      <c r="P336" s="56"/>
      <c r="Q336" s="56"/>
    </row>
    <row r="337" spans="3:17" ht="19.5" customHeight="1"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56"/>
      <c r="P337" s="56"/>
      <c r="Q337" s="56"/>
    </row>
    <row r="338" spans="3:17" ht="19.5" customHeight="1"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56"/>
      <c r="P338" s="56"/>
      <c r="Q338" s="56"/>
    </row>
    <row r="339" spans="3:17" ht="19.5" customHeight="1"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56"/>
      <c r="P339" s="56"/>
      <c r="Q339" s="56"/>
    </row>
    <row r="340" spans="3:17" ht="19.5" customHeight="1"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56"/>
      <c r="P340" s="56"/>
      <c r="Q340" s="56"/>
    </row>
    <row r="341" spans="3:17" ht="19.5" customHeight="1"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56"/>
      <c r="P341" s="56"/>
      <c r="Q341" s="56"/>
    </row>
    <row r="342" spans="3:17" ht="19.5" customHeight="1"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56"/>
      <c r="P342" s="56"/>
      <c r="Q342" s="56"/>
    </row>
    <row r="343" spans="3:17" ht="19.5" customHeight="1"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56"/>
      <c r="P343" s="56"/>
      <c r="Q343" s="56"/>
    </row>
    <row r="344" spans="3:17" ht="19.5" customHeight="1"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56"/>
      <c r="P344" s="56"/>
      <c r="Q344" s="56"/>
    </row>
    <row r="345" spans="3:17" ht="19.5" customHeight="1"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56"/>
      <c r="P345" s="56"/>
      <c r="Q345" s="56"/>
    </row>
    <row r="346" spans="3:17" ht="19.5" customHeight="1"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56"/>
      <c r="P346" s="56"/>
      <c r="Q346" s="56"/>
    </row>
    <row r="347" spans="3:17" ht="19.5" customHeight="1"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56"/>
      <c r="P347" s="56"/>
      <c r="Q347" s="56"/>
    </row>
    <row r="348" spans="3:17" ht="19.5" customHeight="1"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56"/>
      <c r="P348" s="56"/>
      <c r="Q348" s="56"/>
    </row>
    <row r="349" spans="3:17" ht="19.5" customHeight="1"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56"/>
      <c r="P349" s="56"/>
      <c r="Q349" s="56"/>
    </row>
    <row r="350" spans="3:17" ht="19.5" customHeight="1"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56"/>
      <c r="P350" s="56"/>
      <c r="Q350" s="56"/>
    </row>
    <row r="351" spans="3:17" ht="19.5" customHeight="1"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56"/>
      <c r="P351" s="56"/>
      <c r="Q351" s="56"/>
    </row>
    <row r="352" spans="3:17" ht="19.5" customHeight="1"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56"/>
      <c r="P352" s="56"/>
      <c r="Q352" s="56"/>
    </row>
    <row r="353" spans="3:17" ht="19.5" customHeight="1"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56"/>
      <c r="P353" s="56"/>
      <c r="Q353" s="56"/>
    </row>
    <row r="354" spans="3:17" ht="19.5" customHeight="1"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56"/>
      <c r="P354" s="56"/>
      <c r="Q354" s="56"/>
    </row>
    <row r="355" spans="3:17" ht="19.5" customHeight="1"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56"/>
      <c r="P355" s="56"/>
      <c r="Q355" s="56"/>
    </row>
    <row r="356" spans="3:17" ht="19.5" customHeight="1"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56"/>
      <c r="P356" s="56"/>
      <c r="Q356" s="56"/>
    </row>
    <row r="357" spans="3:17" ht="19.5" customHeight="1"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56"/>
      <c r="P357" s="56"/>
      <c r="Q357" s="56"/>
    </row>
    <row r="358" spans="3:17" ht="19.5" customHeight="1"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56"/>
      <c r="P358" s="56"/>
      <c r="Q358" s="56"/>
    </row>
    <row r="359" spans="3:17" ht="19.5" customHeight="1"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56"/>
      <c r="P359" s="56"/>
      <c r="Q359" s="56"/>
    </row>
    <row r="360" spans="3:17" ht="19.5" customHeight="1"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56"/>
      <c r="P360" s="56"/>
      <c r="Q360" s="56"/>
    </row>
    <row r="361" spans="3:17" ht="19.5" customHeight="1"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56"/>
      <c r="P361" s="56"/>
      <c r="Q361" s="56"/>
    </row>
    <row r="362" spans="3:17" ht="19.5" customHeight="1"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56"/>
      <c r="P362" s="56"/>
      <c r="Q362" s="56"/>
    </row>
    <row r="363" spans="3:17" ht="19.5" customHeight="1"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56"/>
      <c r="P363" s="56"/>
      <c r="Q363" s="56"/>
    </row>
    <row r="364" spans="3:17" ht="19.5" customHeight="1"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56"/>
      <c r="P364" s="56"/>
      <c r="Q364" s="56"/>
    </row>
    <row r="365" spans="3:17" ht="19.5" customHeight="1"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56"/>
      <c r="P365" s="56"/>
      <c r="Q365" s="56"/>
    </row>
    <row r="366" spans="3:17" ht="19.5" customHeight="1"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56"/>
      <c r="P366" s="56"/>
      <c r="Q366" s="56"/>
    </row>
    <row r="367" spans="3:17" ht="19.5" customHeight="1"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56"/>
      <c r="P367" s="56"/>
      <c r="Q367" s="56"/>
    </row>
    <row r="368" spans="3:17" ht="19.5" customHeight="1"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56"/>
      <c r="P368" s="56"/>
      <c r="Q368" s="56"/>
    </row>
    <row r="369" spans="3:17" ht="19.5" customHeight="1"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56"/>
      <c r="P369" s="56"/>
      <c r="Q369" s="56"/>
    </row>
    <row r="370" spans="3:17" ht="19.5" customHeight="1"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56"/>
      <c r="P370" s="56"/>
      <c r="Q370" s="56"/>
    </row>
    <row r="371" spans="3:17" ht="19.5" customHeight="1"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56"/>
      <c r="P371" s="56"/>
      <c r="Q371" s="56"/>
    </row>
    <row r="372" spans="3:17" ht="19.5" customHeight="1"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56"/>
      <c r="P372" s="56"/>
      <c r="Q372" s="56"/>
    </row>
    <row r="373" spans="3:17" ht="19.5" customHeight="1"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56"/>
      <c r="P373" s="56"/>
      <c r="Q373" s="56"/>
    </row>
    <row r="374" spans="3:17" ht="19.5" customHeight="1"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56"/>
      <c r="P374" s="56"/>
      <c r="Q374" s="56"/>
    </row>
    <row r="375" spans="3:17" ht="19.5" customHeight="1"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56"/>
      <c r="P375" s="56"/>
      <c r="Q375" s="56"/>
    </row>
    <row r="376" spans="3:17" ht="19.5" customHeight="1"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56"/>
      <c r="P376" s="56"/>
      <c r="Q376" s="56"/>
    </row>
    <row r="377" spans="3:17" ht="19.5" customHeight="1"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56"/>
      <c r="P377" s="56"/>
      <c r="Q377" s="56"/>
    </row>
    <row r="378" spans="3:17" ht="19.5" customHeight="1"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56"/>
      <c r="P378" s="56"/>
      <c r="Q378" s="56"/>
    </row>
    <row r="379" spans="3:17" ht="19.5" customHeight="1"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56"/>
      <c r="P379" s="56"/>
      <c r="Q379" s="56"/>
    </row>
    <row r="380" spans="3:17" ht="19.5" customHeight="1"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56"/>
      <c r="P380" s="56"/>
      <c r="Q380" s="56"/>
    </row>
    <row r="381" spans="3:17" ht="19.5" customHeight="1"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56"/>
      <c r="P381" s="56"/>
      <c r="Q381" s="56"/>
    </row>
    <row r="382" spans="3:17" ht="19.5" customHeight="1"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56"/>
      <c r="P382" s="56"/>
      <c r="Q382" s="56"/>
    </row>
    <row r="383" spans="3:17" ht="19.5" customHeight="1"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56"/>
      <c r="P383" s="56"/>
      <c r="Q383" s="56"/>
    </row>
    <row r="384" spans="3:17" ht="19.5" customHeight="1"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56"/>
      <c r="P384" s="56"/>
      <c r="Q384" s="56"/>
    </row>
    <row r="385" spans="3:17" ht="19.5" customHeight="1"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56"/>
      <c r="P385" s="56"/>
      <c r="Q385" s="56"/>
    </row>
    <row r="386" spans="3:17" ht="19.5" customHeight="1"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56"/>
      <c r="P386" s="56"/>
      <c r="Q386" s="56"/>
    </row>
    <row r="387" spans="3:17" ht="19.5" customHeight="1"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56"/>
      <c r="P387" s="56"/>
      <c r="Q387" s="56"/>
    </row>
    <row r="388" spans="3:17" ht="19.5" customHeight="1"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56"/>
      <c r="P388" s="56"/>
      <c r="Q388" s="56"/>
    </row>
    <row r="389" spans="3:17" ht="19.5" customHeight="1"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56"/>
      <c r="P389" s="56"/>
      <c r="Q389" s="56"/>
    </row>
    <row r="390" spans="3:17" ht="19.5" customHeight="1"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56"/>
      <c r="P390" s="56"/>
      <c r="Q390" s="56"/>
    </row>
    <row r="391" spans="3:17" ht="19.5" customHeight="1"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56"/>
      <c r="P391" s="56"/>
      <c r="Q391" s="56"/>
    </row>
    <row r="392" spans="3:17" ht="19.5" customHeight="1"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56"/>
      <c r="P392" s="56"/>
      <c r="Q392" s="56"/>
    </row>
    <row r="393" spans="3:17" ht="19.5" customHeight="1"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56"/>
      <c r="P393" s="56"/>
      <c r="Q393" s="56"/>
    </row>
    <row r="394" spans="3:17" ht="19.5" customHeight="1"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56"/>
      <c r="P394" s="56"/>
      <c r="Q394" s="56"/>
    </row>
    <row r="395" spans="3:17" ht="19.5" customHeight="1"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56"/>
      <c r="P395" s="56"/>
      <c r="Q395" s="56"/>
    </row>
    <row r="396" spans="3:17" ht="19.5" customHeight="1"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56"/>
      <c r="P396" s="56"/>
      <c r="Q396" s="56"/>
    </row>
    <row r="397" spans="3:17" ht="19.5" customHeight="1"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56"/>
      <c r="P397" s="56"/>
      <c r="Q397" s="56"/>
    </row>
    <row r="398" spans="3:17" ht="19.5" customHeight="1"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56"/>
      <c r="P398" s="56"/>
      <c r="Q398" s="56"/>
    </row>
    <row r="399" spans="3:17" ht="19.5" customHeight="1"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56"/>
      <c r="P399" s="56"/>
      <c r="Q399" s="56"/>
    </row>
    <row r="400" spans="3:17" ht="19.5" customHeight="1"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56"/>
      <c r="P400" s="56"/>
      <c r="Q400" s="56"/>
    </row>
    <row r="401" spans="3:17" ht="19.5" customHeight="1"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56"/>
      <c r="P401" s="56"/>
      <c r="Q401" s="56"/>
    </row>
    <row r="402" spans="3:17" ht="19.5" customHeight="1"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56"/>
      <c r="P402" s="56"/>
      <c r="Q402" s="56"/>
    </row>
    <row r="403" spans="3:17" ht="19.5" customHeight="1"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56"/>
      <c r="P403" s="56"/>
      <c r="Q403" s="56"/>
    </row>
    <row r="404" spans="3:17" ht="19.5" customHeight="1"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56"/>
      <c r="P404" s="56"/>
      <c r="Q404" s="56"/>
    </row>
    <row r="405" spans="3:17" ht="19.5" customHeight="1"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56"/>
      <c r="P405" s="56"/>
      <c r="Q405" s="56"/>
    </row>
    <row r="406" spans="3:17" ht="19.5" customHeight="1"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56"/>
      <c r="P406" s="56"/>
      <c r="Q406" s="56"/>
    </row>
    <row r="407" spans="3:17" ht="19.5" customHeight="1"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56"/>
      <c r="P407" s="56"/>
      <c r="Q407" s="56"/>
    </row>
    <row r="408" spans="3:17" ht="19.5" customHeight="1"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56"/>
      <c r="P408" s="56"/>
      <c r="Q408" s="56"/>
    </row>
    <row r="409" spans="3:17" ht="19.5" customHeight="1"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56"/>
      <c r="P409" s="56"/>
      <c r="Q409" s="56"/>
    </row>
    <row r="410" spans="3:17" ht="19.5" customHeight="1"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56"/>
      <c r="P410" s="56"/>
      <c r="Q410" s="56"/>
    </row>
    <row r="411" spans="3:17" ht="19.5" customHeight="1"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56"/>
      <c r="P411" s="56"/>
      <c r="Q411" s="56"/>
    </row>
    <row r="412" spans="3:17" ht="19.5" customHeight="1"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56"/>
      <c r="P412" s="56"/>
      <c r="Q412" s="56"/>
    </row>
    <row r="413" spans="3:17" ht="19.5" customHeight="1"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56"/>
      <c r="P413" s="56"/>
      <c r="Q413" s="56"/>
    </row>
    <row r="414" spans="3:17" ht="19.5" customHeight="1"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56"/>
      <c r="P414" s="56"/>
      <c r="Q414" s="56"/>
    </row>
    <row r="415" spans="3:17" ht="19.5" customHeight="1"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56"/>
      <c r="P415" s="56"/>
      <c r="Q415" s="56"/>
    </row>
    <row r="416" spans="3:17" ht="19.5" customHeight="1"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56"/>
      <c r="P416" s="56"/>
      <c r="Q416" s="56"/>
    </row>
    <row r="417" spans="3:17" ht="19.5" customHeight="1"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56"/>
      <c r="P417" s="56"/>
      <c r="Q417" s="56"/>
    </row>
    <row r="418" spans="3:17" ht="19.5" customHeight="1"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56"/>
      <c r="P418" s="56"/>
      <c r="Q418" s="56"/>
    </row>
    <row r="419" spans="3:17" ht="19.5" customHeight="1"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56"/>
      <c r="P419" s="56"/>
      <c r="Q419" s="56"/>
    </row>
    <row r="420" spans="3:17" ht="19.5" customHeight="1"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56"/>
      <c r="P420" s="56"/>
      <c r="Q420" s="56"/>
    </row>
    <row r="421" spans="3:17" ht="19.5" customHeight="1"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56"/>
      <c r="P421" s="56"/>
      <c r="Q421" s="56"/>
    </row>
    <row r="422" spans="3:17" ht="19.5" customHeight="1"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56"/>
      <c r="P422" s="56"/>
      <c r="Q422" s="56"/>
    </row>
    <row r="423" spans="3:17" ht="19.5" customHeight="1"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56"/>
      <c r="P423" s="56"/>
      <c r="Q423" s="56"/>
    </row>
    <row r="424" spans="3:17" ht="19.5" customHeight="1"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56"/>
      <c r="P424" s="56"/>
      <c r="Q424" s="56"/>
    </row>
    <row r="425" spans="3:17" ht="19.5" customHeight="1"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56"/>
      <c r="P425" s="56"/>
      <c r="Q425" s="56"/>
    </row>
    <row r="426" spans="3:17" ht="19.5" customHeight="1"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56"/>
      <c r="P426" s="56"/>
      <c r="Q426" s="56"/>
    </row>
    <row r="427" spans="3:17" ht="19.5" customHeight="1"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56"/>
      <c r="P427" s="56"/>
      <c r="Q427" s="56"/>
    </row>
    <row r="428" spans="3:17" ht="19.5" customHeight="1"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56"/>
      <c r="P428" s="56"/>
      <c r="Q428" s="56"/>
    </row>
    <row r="429" spans="3:17" ht="19.5" customHeight="1"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56"/>
      <c r="P429" s="56"/>
      <c r="Q429" s="56"/>
    </row>
    <row r="430" spans="3:17" ht="19.5" customHeight="1"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56"/>
      <c r="P430" s="56"/>
      <c r="Q430" s="56"/>
    </row>
    <row r="431" spans="3:17" ht="19.5" customHeight="1"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56"/>
      <c r="P431" s="56"/>
      <c r="Q431" s="56"/>
    </row>
    <row r="432" spans="3:17" ht="19.5" customHeight="1"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56"/>
      <c r="P432" s="56"/>
      <c r="Q432" s="56"/>
    </row>
    <row r="433" spans="3:17" ht="19.5" customHeight="1"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56"/>
      <c r="P433" s="56"/>
      <c r="Q433" s="56"/>
    </row>
    <row r="434" spans="3:17" ht="19.5" customHeight="1"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56"/>
      <c r="P434" s="56"/>
      <c r="Q434" s="56"/>
    </row>
    <row r="435" spans="3:17" ht="19.5" customHeight="1"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56"/>
      <c r="P435" s="56"/>
      <c r="Q435" s="56"/>
    </row>
    <row r="436" spans="3:17" ht="19.5" customHeight="1"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56"/>
      <c r="P436" s="56"/>
      <c r="Q436" s="56"/>
    </row>
    <row r="437" spans="3:17" ht="19.5" customHeight="1"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56"/>
      <c r="P437" s="56"/>
      <c r="Q437" s="56"/>
    </row>
    <row r="438" spans="3:17" ht="19.5" customHeight="1"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56"/>
      <c r="P438" s="56"/>
      <c r="Q438" s="56"/>
    </row>
    <row r="439" spans="3:17" ht="19.5" customHeight="1"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56"/>
      <c r="P439" s="56"/>
      <c r="Q439" s="56"/>
    </row>
    <row r="440" spans="3:17" ht="19.5" customHeight="1"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56"/>
      <c r="P440" s="56"/>
      <c r="Q440" s="56"/>
    </row>
    <row r="441" spans="3:17" ht="19.5" customHeight="1"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56"/>
      <c r="P441" s="56"/>
      <c r="Q441" s="56"/>
    </row>
    <row r="442" spans="3:17" ht="19.5" customHeight="1"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56"/>
      <c r="P442" s="56"/>
      <c r="Q442" s="56"/>
    </row>
    <row r="443" spans="3:17" ht="19.5" customHeight="1"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56"/>
      <c r="P443" s="56"/>
      <c r="Q443" s="56"/>
    </row>
    <row r="444" spans="3:17" ht="19.5" customHeight="1"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56"/>
      <c r="P444" s="56"/>
      <c r="Q444" s="56"/>
    </row>
    <row r="445" spans="3:17" ht="19.5" customHeight="1"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56"/>
      <c r="P445" s="56"/>
      <c r="Q445" s="56"/>
    </row>
    <row r="446" spans="3:17" ht="19.5" customHeight="1"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56"/>
      <c r="P446" s="56"/>
      <c r="Q446" s="56"/>
    </row>
    <row r="447" spans="3:17" ht="19.5" customHeight="1"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56"/>
      <c r="P447" s="56"/>
      <c r="Q447" s="56"/>
    </row>
    <row r="448" spans="3:17" ht="19.5" customHeight="1"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56"/>
      <c r="P448" s="56"/>
      <c r="Q448" s="56"/>
    </row>
    <row r="449" spans="3:17" ht="19.5" customHeight="1"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56"/>
      <c r="P449" s="56"/>
      <c r="Q449" s="56"/>
    </row>
    <row r="450" spans="3:17" ht="19.5" customHeight="1"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56"/>
      <c r="P450" s="56"/>
      <c r="Q450" s="56"/>
    </row>
    <row r="451" spans="3:17" ht="19.5" customHeight="1"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56"/>
      <c r="P451" s="56"/>
      <c r="Q451" s="56"/>
    </row>
    <row r="452" spans="3:17" ht="19.5" customHeight="1"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56"/>
      <c r="P452" s="56"/>
      <c r="Q452" s="56"/>
    </row>
    <row r="453" spans="3:17" ht="19.5" customHeight="1"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56"/>
      <c r="P453" s="56"/>
      <c r="Q453" s="56"/>
    </row>
    <row r="454" spans="3:17" ht="19.5" customHeight="1"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56"/>
      <c r="P454" s="56"/>
      <c r="Q454" s="56"/>
    </row>
    <row r="455" spans="3:17" ht="19.5" customHeight="1"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56"/>
      <c r="P455" s="56"/>
      <c r="Q455" s="56"/>
    </row>
    <row r="456" spans="3:17" ht="19.5" customHeight="1"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56"/>
      <c r="P456" s="56"/>
      <c r="Q456" s="56"/>
    </row>
    <row r="457" spans="3:17" ht="19.5" customHeight="1"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56"/>
      <c r="P457" s="56"/>
      <c r="Q457" s="56"/>
    </row>
    <row r="458" spans="3:17" ht="19.5" customHeight="1"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56"/>
      <c r="P458" s="56"/>
      <c r="Q458" s="56"/>
    </row>
    <row r="459" spans="3:17" ht="19.5" customHeight="1"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56"/>
      <c r="P459" s="56"/>
      <c r="Q459" s="56"/>
    </row>
    <row r="460" spans="3:17" ht="19.5" customHeight="1"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56"/>
      <c r="P460" s="56"/>
      <c r="Q460" s="56"/>
    </row>
    <row r="461" spans="3:17" ht="19.5" customHeight="1"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56"/>
      <c r="P461" s="56"/>
      <c r="Q461" s="56"/>
    </row>
    <row r="462" spans="3:17" ht="19.5" customHeight="1"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56"/>
      <c r="P462" s="56"/>
      <c r="Q462" s="56"/>
    </row>
    <row r="463" spans="3:17" ht="19.5" customHeight="1"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56"/>
      <c r="P463" s="56"/>
      <c r="Q463" s="56"/>
    </row>
    <row r="464" spans="3:17" ht="19.5" customHeight="1"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56"/>
      <c r="P464" s="56"/>
      <c r="Q464" s="56"/>
    </row>
    <row r="465" spans="3:17" ht="19.5" customHeight="1"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56"/>
      <c r="P465" s="56"/>
      <c r="Q465" s="56"/>
    </row>
    <row r="466" spans="3:17" ht="19.5" customHeight="1"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56"/>
      <c r="P466" s="56"/>
      <c r="Q466" s="56"/>
    </row>
    <row r="467" spans="3:17" ht="19.5" customHeight="1"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56"/>
      <c r="P467" s="56"/>
      <c r="Q467" s="56"/>
    </row>
    <row r="468" spans="3:17" ht="19.5" customHeight="1"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56"/>
      <c r="P468" s="56"/>
      <c r="Q468" s="56"/>
    </row>
    <row r="469" spans="3:17" ht="19.5" customHeight="1"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56"/>
      <c r="P469" s="56"/>
      <c r="Q469" s="56"/>
    </row>
    <row r="470" spans="3:17" ht="19.5" customHeight="1"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56"/>
      <c r="P470" s="56"/>
      <c r="Q470" s="56"/>
    </row>
    <row r="471" spans="3:17" ht="19.5" customHeight="1"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56"/>
      <c r="P471" s="56"/>
      <c r="Q471" s="56"/>
    </row>
    <row r="472" spans="3:17" ht="19.5" customHeight="1"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56"/>
      <c r="P472" s="56"/>
      <c r="Q472" s="56"/>
    </row>
    <row r="473" spans="3:17" ht="19.5" customHeight="1"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56"/>
      <c r="P473" s="56"/>
      <c r="Q473" s="56"/>
    </row>
    <row r="474" spans="3:17" ht="19.5" customHeight="1"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56"/>
      <c r="P474" s="56"/>
      <c r="Q474" s="56"/>
    </row>
    <row r="475" spans="3:17" ht="19.5" customHeight="1"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56"/>
      <c r="P475" s="56"/>
      <c r="Q475" s="56"/>
    </row>
    <row r="476" spans="3:17" ht="19.5" customHeight="1"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56"/>
      <c r="P476" s="56"/>
      <c r="Q476" s="56"/>
    </row>
    <row r="477" spans="3:17" ht="19.5" customHeight="1"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56"/>
      <c r="P477" s="56"/>
      <c r="Q477" s="56"/>
    </row>
    <row r="478" spans="3:17" ht="19.5" customHeight="1"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56"/>
      <c r="P478" s="56"/>
      <c r="Q478" s="56"/>
    </row>
    <row r="479" spans="3:17" ht="19.5" customHeight="1"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56"/>
      <c r="P479" s="56"/>
      <c r="Q479" s="56"/>
    </row>
    <row r="480" spans="3:17" ht="19.5" customHeight="1"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56"/>
      <c r="P480" s="56"/>
      <c r="Q480" s="56"/>
    </row>
    <row r="481" spans="3:17" ht="19.5" customHeight="1"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56"/>
      <c r="P481" s="56"/>
      <c r="Q481" s="56"/>
    </row>
    <row r="482" spans="3:17" ht="19.5" customHeight="1"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56"/>
      <c r="P482" s="56"/>
      <c r="Q482" s="56"/>
    </row>
    <row r="483" spans="3:17" ht="19.5" customHeight="1"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56"/>
      <c r="P483" s="56"/>
      <c r="Q483" s="56"/>
    </row>
    <row r="484" spans="3:17" ht="19.5" customHeight="1"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56"/>
      <c r="P484" s="56"/>
      <c r="Q484" s="56"/>
    </row>
    <row r="485" spans="3:17" ht="19.5" customHeight="1"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56"/>
      <c r="P485" s="56"/>
      <c r="Q485" s="56"/>
    </row>
    <row r="486" spans="3:17" ht="19.5" customHeight="1"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56"/>
      <c r="P486" s="56"/>
      <c r="Q486" s="56"/>
    </row>
    <row r="487" spans="3:17" ht="19.5" customHeight="1"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56"/>
      <c r="P487" s="56"/>
      <c r="Q487" s="56"/>
    </row>
    <row r="488" spans="3:17" ht="19.5" customHeight="1"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56"/>
      <c r="P488" s="56"/>
      <c r="Q488" s="56"/>
    </row>
    <row r="489" spans="3:17" ht="19.5" customHeight="1"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56"/>
      <c r="P489" s="56"/>
      <c r="Q489" s="56"/>
    </row>
    <row r="490" spans="3:17" ht="19.5" customHeight="1"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56"/>
      <c r="P490" s="56"/>
      <c r="Q490" s="56"/>
    </row>
    <row r="491" spans="3:17" ht="19.5" customHeight="1"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56"/>
      <c r="P491" s="56"/>
      <c r="Q491" s="56"/>
    </row>
    <row r="492" spans="3:17" ht="19.5" customHeight="1"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56"/>
      <c r="P492" s="56"/>
      <c r="Q492" s="56"/>
    </row>
    <row r="493" spans="3:17" ht="19.5" customHeight="1"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56"/>
      <c r="P493" s="56"/>
      <c r="Q493" s="56"/>
    </row>
    <row r="494" spans="3:17" ht="19.5" customHeight="1"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56"/>
      <c r="P494" s="56"/>
      <c r="Q494" s="56"/>
    </row>
    <row r="495" spans="3:17" ht="19.5" customHeight="1"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56"/>
      <c r="P495" s="56"/>
      <c r="Q495" s="56"/>
    </row>
    <row r="496" spans="3:17" ht="19.5" customHeight="1"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56"/>
      <c r="P496" s="56"/>
      <c r="Q496" s="56"/>
    </row>
    <row r="497" spans="3:17" ht="19.5" customHeight="1"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56"/>
      <c r="P497" s="56"/>
      <c r="Q497" s="56"/>
    </row>
    <row r="498" spans="3:17" ht="19.5" customHeight="1"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56"/>
      <c r="P498" s="56"/>
      <c r="Q498" s="56"/>
    </row>
    <row r="499" spans="3:17" ht="19.5" customHeight="1"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56"/>
      <c r="P499" s="56"/>
      <c r="Q499" s="56"/>
    </row>
    <row r="500" spans="3:17" ht="19.5" customHeight="1"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56"/>
      <c r="P500" s="56"/>
      <c r="Q500" s="56"/>
    </row>
    <row r="501" spans="3:17" ht="19.5" customHeight="1"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56"/>
      <c r="P501" s="56"/>
      <c r="Q501" s="56"/>
    </row>
    <row r="502" spans="3:17" ht="19.5" customHeight="1"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56"/>
      <c r="P502" s="56"/>
      <c r="Q502" s="56"/>
    </row>
    <row r="503" spans="3:17" ht="19.5" customHeight="1"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56"/>
      <c r="P503" s="56"/>
      <c r="Q503" s="56"/>
    </row>
    <row r="504" spans="3:17" ht="19.5" customHeight="1"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56"/>
      <c r="P504" s="56"/>
      <c r="Q504" s="56"/>
    </row>
    <row r="505" spans="3:17" ht="19.5" customHeight="1"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56"/>
      <c r="P505" s="56"/>
      <c r="Q505" s="56"/>
    </row>
    <row r="506" spans="3:17" ht="19.5" customHeight="1"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56"/>
      <c r="P506" s="56"/>
      <c r="Q506" s="56"/>
    </row>
    <row r="507" spans="3:17" ht="19.5" customHeight="1"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56"/>
      <c r="P507" s="56"/>
      <c r="Q507" s="56"/>
    </row>
    <row r="508" spans="3:17" ht="19.5" customHeight="1"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56"/>
      <c r="P508" s="56"/>
      <c r="Q508" s="56"/>
    </row>
    <row r="509" spans="3:17" ht="19.5" customHeight="1"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56"/>
      <c r="P509" s="56"/>
      <c r="Q509" s="56"/>
    </row>
    <row r="510" spans="3:17" ht="19.5" customHeight="1"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56"/>
      <c r="P510" s="56"/>
      <c r="Q510" s="56"/>
    </row>
    <row r="511" spans="3:17" ht="19.5" customHeight="1"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56"/>
      <c r="P511" s="56"/>
      <c r="Q511" s="56"/>
    </row>
    <row r="512" spans="3:17" ht="19.5" customHeight="1"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56"/>
      <c r="P512" s="56"/>
      <c r="Q512" s="56"/>
    </row>
    <row r="513" spans="3:17" ht="19.5" customHeight="1"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56"/>
      <c r="P513" s="56"/>
      <c r="Q513" s="56"/>
    </row>
    <row r="514" spans="3:17" ht="19.5" customHeight="1"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56"/>
      <c r="P514" s="56"/>
      <c r="Q514" s="56"/>
    </row>
    <row r="515" spans="3:17" ht="19.5" customHeight="1"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56"/>
      <c r="P515" s="56"/>
      <c r="Q515" s="56"/>
    </row>
    <row r="516" spans="3:17" ht="19.5" customHeight="1"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56"/>
      <c r="P516" s="56"/>
      <c r="Q516" s="56"/>
    </row>
    <row r="517" spans="3:17" ht="19.5" customHeight="1"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56"/>
      <c r="P517" s="56"/>
      <c r="Q517" s="56"/>
    </row>
    <row r="518" spans="3:17" ht="19.5" customHeight="1"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56"/>
      <c r="P518" s="56"/>
      <c r="Q518" s="56"/>
    </row>
    <row r="519" spans="3:17" ht="19.5" customHeight="1"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56"/>
      <c r="P519" s="56"/>
      <c r="Q519" s="56"/>
    </row>
    <row r="520" spans="3:17" ht="19.5" customHeight="1"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56"/>
      <c r="P520" s="56"/>
      <c r="Q520" s="56"/>
    </row>
    <row r="521" spans="3:17" ht="19.5" customHeight="1"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56"/>
      <c r="P521" s="56"/>
      <c r="Q521" s="56"/>
    </row>
    <row r="522" spans="3:17" ht="19.5" customHeight="1"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56"/>
      <c r="P522" s="56"/>
      <c r="Q522" s="56"/>
    </row>
    <row r="523" spans="3:17" ht="19.5" customHeight="1"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56"/>
      <c r="P523" s="56"/>
      <c r="Q523" s="56"/>
    </row>
    <row r="524" spans="3:17" ht="19.5" customHeight="1"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56"/>
      <c r="P524" s="56"/>
      <c r="Q524" s="56"/>
    </row>
    <row r="525" spans="3:17" ht="19.5" customHeight="1"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56"/>
      <c r="P525" s="56"/>
      <c r="Q525" s="56"/>
    </row>
    <row r="526" spans="3:17" ht="19.5" customHeight="1"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56"/>
      <c r="P526" s="56"/>
      <c r="Q526" s="56"/>
    </row>
    <row r="527" spans="3:17" ht="19.5" customHeight="1"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56"/>
      <c r="P527" s="56"/>
      <c r="Q527" s="56"/>
    </row>
    <row r="528" spans="3:17" ht="19.5" customHeight="1"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56"/>
      <c r="P528" s="56"/>
      <c r="Q528" s="56"/>
    </row>
    <row r="529" spans="3:17" ht="19.5" customHeight="1"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56"/>
      <c r="P529" s="56"/>
      <c r="Q529" s="56"/>
    </row>
    <row r="530" spans="3:17" ht="19.5" customHeight="1"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56"/>
      <c r="P530" s="56"/>
      <c r="Q530" s="56"/>
    </row>
    <row r="531" spans="3:17" ht="19.5" customHeight="1"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56"/>
      <c r="P531" s="56"/>
      <c r="Q531" s="56"/>
    </row>
    <row r="532" spans="3:17" ht="19.5" customHeight="1"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56"/>
      <c r="P532" s="56"/>
      <c r="Q532" s="56"/>
    </row>
    <row r="533" spans="3:17" ht="19.5" customHeight="1"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56"/>
      <c r="P533" s="56"/>
      <c r="Q533" s="56"/>
    </row>
    <row r="534" spans="3:17" ht="19.5" customHeight="1"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56"/>
      <c r="P534" s="56"/>
      <c r="Q534" s="56"/>
    </row>
    <row r="535" spans="3:17" ht="19.5" customHeight="1"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56"/>
      <c r="P535" s="56"/>
      <c r="Q535" s="56"/>
    </row>
    <row r="536" spans="3:17" ht="19.5" customHeight="1"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56"/>
      <c r="P536" s="56"/>
      <c r="Q536" s="56"/>
    </row>
    <row r="537" spans="3:17" ht="19.5" customHeight="1"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56"/>
      <c r="P537" s="56"/>
      <c r="Q537" s="56"/>
    </row>
    <row r="538" spans="3:17" ht="19.5" customHeight="1"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56"/>
      <c r="P538" s="56"/>
      <c r="Q538" s="56"/>
    </row>
    <row r="539" spans="3:17" ht="19.5" customHeight="1"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56"/>
      <c r="P539" s="56"/>
      <c r="Q539" s="56"/>
    </row>
    <row r="540" spans="3:17" ht="19.5" customHeight="1"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56"/>
      <c r="P540" s="56"/>
      <c r="Q540" s="56"/>
    </row>
    <row r="541" spans="3:17" ht="19.5" customHeight="1"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56"/>
      <c r="P541" s="56"/>
      <c r="Q541" s="56"/>
    </row>
    <row r="542" spans="3:17" ht="19.5" customHeight="1"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56"/>
      <c r="P542" s="56"/>
      <c r="Q542" s="56"/>
    </row>
    <row r="543" spans="3:17" ht="19.5" customHeight="1"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56"/>
      <c r="P543" s="56"/>
      <c r="Q543" s="56"/>
    </row>
    <row r="544" spans="3:17" ht="19.5" customHeight="1"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56"/>
      <c r="P544" s="56"/>
      <c r="Q544" s="56"/>
    </row>
    <row r="545" spans="3:17" ht="19.5" customHeight="1"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56"/>
      <c r="P545" s="56"/>
      <c r="Q545" s="56"/>
    </row>
    <row r="546" spans="3:17" ht="19.5" customHeight="1"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56"/>
      <c r="P546" s="56"/>
      <c r="Q546" s="56"/>
    </row>
    <row r="547" spans="3:17" ht="19.5" customHeight="1"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56"/>
      <c r="P547" s="56"/>
      <c r="Q547" s="56"/>
    </row>
    <row r="548" spans="3:17" ht="19.5" customHeight="1"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56"/>
      <c r="P548" s="56"/>
      <c r="Q548" s="56"/>
    </row>
    <row r="549" spans="3:17" ht="19.5" customHeight="1"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56"/>
      <c r="P549" s="56"/>
      <c r="Q549" s="56"/>
    </row>
    <row r="550" spans="3:17" ht="19.5" customHeight="1"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56"/>
      <c r="P550" s="56"/>
      <c r="Q550" s="56"/>
    </row>
    <row r="551" spans="3:17" ht="19.5" customHeight="1"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56"/>
      <c r="P551" s="56"/>
      <c r="Q551" s="56"/>
    </row>
    <row r="552" spans="3:17" ht="19.5" customHeight="1"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56"/>
      <c r="P552" s="56"/>
      <c r="Q552" s="56"/>
    </row>
    <row r="553" spans="3:17" ht="19.5" customHeight="1"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56"/>
      <c r="P553" s="56"/>
      <c r="Q553" s="56"/>
    </row>
    <row r="554" spans="3:17" ht="19.5" customHeight="1"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56"/>
      <c r="P554" s="56"/>
      <c r="Q554" s="56"/>
    </row>
    <row r="555" spans="3:17" ht="19.5" customHeight="1"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56"/>
      <c r="P555" s="56"/>
      <c r="Q555" s="56"/>
    </row>
    <row r="556" spans="3:17" ht="19.5" customHeight="1"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56"/>
      <c r="P556" s="56"/>
      <c r="Q556" s="56"/>
    </row>
    <row r="557" spans="3:17" ht="19.5" customHeight="1"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56"/>
      <c r="P557" s="56"/>
      <c r="Q557" s="56"/>
    </row>
    <row r="558" spans="3:17" ht="19.5" customHeight="1"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56"/>
      <c r="P558" s="56"/>
      <c r="Q558" s="56"/>
    </row>
    <row r="559" spans="3:17" ht="19.5" customHeight="1"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56"/>
      <c r="P559" s="56"/>
      <c r="Q559" s="56"/>
    </row>
    <row r="560" spans="3:17" ht="19.5" customHeight="1"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56"/>
      <c r="P560" s="56"/>
      <c r="Q560" s="56"/>
    </row>
    <row r="561" spans="3:17" ht="19.5" customHeight="1"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56"/>
      <c r="P561" s="56"/>
      <c r="Q561" s="56"/>
    </row>
    <row r="562" spans="3:17" ht="19.5" customHeight="1"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56"/>
      <c r="P562" s="56"/>
      <c r="Q562" s="56"/>
    </row>
    <row r="563" spans="3:17" ht="19.5" customHeight="1"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56"/>
      <c r="P563" s="56"/>
      <c r="Q563" s="56"/>
    </row>
    <row r="564" spans="3:17" ht="19.5" customHeight="1"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56"/>
      <c r="P564" s="56"/>
      <c r="Q564" s="56"/>
    </row>
    <row r="565" spans="3:17" ht="19.5" customHeight="1"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56"/>
      <c r="P565" s="56"/>
      <c r="Q565" s="56"/>
    </row>
    <row r="566" spans="3:17" ht="19.5" customHeight="1"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56"/>
      <c r="P566" s="56"/>
      <c r="Q566" s="56"/>
    </row>
    <row r="567" spans="3:17" ht="19.5" customHeight="1"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56"/>
      <c r="P567" s="56"/>
      <c r="Q567" s="56"/>
    </row>
    <row r="568" spans="3:17" ht="19.5" customHeight="1"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56"/>
      <c r="P568" s="56"/>
      <c r="Q568" s="56"/>
    </row>
    <row r="569" spans="3:17" ht="19.5" customHeight="1"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56"/>
      <c r="P569" s="56"/>
      <c r="Q569" s="56"/>
    </row>
    <row r="570" spans="3:17" ht="19.5" customHeight="1"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56"/>
      <c r="P570" s="56"/>
      <c r="Q570" s="56"/>
    </row>
    <row r="571" spans="3:17" ht="19.5" customHeight="1"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56"/>
      <c r="P571" s="56"/>
      <c r="Q571" s="56"/>
    </row>
    <row r="572" spans="3:17" ht="19.5" customHeight="1"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56"/>
      <c r="P572" s="56"/>
      <c r="Q572" s="56"/>
    </row>
    <row r="573" spans="3:17" ht="19.5" customHeight="1"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56"/>
      <c r="P573" s="56"/>
      <c r="Q573" s="56"/>
    </row>
    <row r="574" spans="3:17" ht="19.5" customHeight="1"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56"/>
      <c r="P574" s="56"/>
      <c r="Q574" s="56"/>
    </row>
    <row r="575" spans="3:17" ht="19.5" customHeight="1"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56"/>
      <c r="P575" s="56"/>
      <c r="Q575" s="56"/>
    </row>
    <row r="576" spans="3:17" ht="19.5" customHeight="1"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56"/>
      <c r="P576" s="56"/>
      <c r="Q576" s="56"/>
    </row>
    <row r="577" spans="3:17" ht="19.5" customHeight="1"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56"/>
      <c r="P577" s="56"/>
      <c r="Q577" s="56"/>
    </row>
    <row r="578" spans="3:17" ht="19.5" customHeight="1"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56"/>
      <c r="P578" s="56"/>
      <c r="Q578" s="56"/>
    </row>
    <row r="579" spans="3:17" ht="19.5" customHeight="1"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56"/>
      <c r="P579" s="56"/>
      <c r="Q579" s="56"/>
    </row>
    <row r="580" spans="3:17" ht="19.5" customHeight="1"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56"/>
      <c r="P580" s="56"/>
      <c r="Q580" s="56"/>
    </row>
    <row r="581" spans="3:17" ht="19.5" customHeight="1"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56"/>
      <c r="P581" s="56"/>
      <c r="Q581" s="56"/>
    </row>
    <row r="582" spans="3:17" ht="19.5" customHeight="1"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56"/>
      <c r="P582" s="56"/>
      <c r="Q582" s="56"/>
    </row>
    <row r="583" spans="3:17" ht="19.5" customHeight="1"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56"/>
      <c r="P583" s="56"/>
      <c r="Q583" s="56"/>
    </row>
    <row r="584" spans="3:17" ht="19.5" customHeight="1"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56"/>
      <c r="P584" s="56"/>
      <c r="Q584" s="56"/>
    </row>
    <row r="585" spans="3:17" ht="19.5" customHeight="1"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56"/>
      <c r="P585" s="56"/>
      <c r="Q585" s="56"/>
    </row>
    <row r="586" spans="3:17" ht="19.5" customHeight="1"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56"/>
      <c r="P586" s="56"/>
      <c r="Q586" s="56"/>
    </row>
    <row r="587" spans="3:17" ht="19.5" customHeight="1"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56"/>
      <c r="P587" s="56"/>
      <c r="Q587" s="56"/>
    </row>
    <row r="588" spans="3:17" ht="19.5" customHeight="1"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56"/>
      <c r="P588" s="56"/>
      <c r="Q588" s="56"/>
    </row>
    <row r="589" spans="3:17" ht="19.5" customHeight="1"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56"/>
      <c r="P589" s="56"/>
      <c r="Q589" s="56"/>
    </row>
    <row r="590" spans="3:17" ht="19.5" customHeight="1"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56"/>
      <c r="P590" s="56"/>
      <c r="Q590" s="56"/>
    </row>
    <row r="591" spans="3:17" ht="19.5" customHeight="1"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56"/>
      <c r="P591" s="56"/>
      <c r="Q591" s="56"/>
    </row>
    <row r="592" spans="3:17" ht="19.5" customHeight="1"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56"/>
      <c r="P592" s="56"/>
      <c r="Q592" s="56"/>
    </row>
    <row r="593" spans="3:17" ht="19.5" customHeight="1"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56"/>
      <c r="P593" s="56"/>
      <c r="Q593" s="56"/>
    </row>
    <row r="594" spans="3:17" ht="19.5" customHeight="1"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56"/>
      <c r="P594" s="56"/>
      <c r="Q594" s="56"/>
    </row>
    <row r="595" spans="3:17" ht="19.5" customHeight="1"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56"/>
      <c r="P595" s="56"/>
      <c r="Q595" s="56"/>
    </row>
    <row r="596" spans="3:17" ht="19.5" customHeight="1"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56"/>
      <c r="P596" s="56"/>
      <c r="Q596" s="56"/>
    </row>
    <row r="597" spans="3:17" ht="19.5" customHeight="1"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56"/>
      <c r="P597" s="56"/>
      <c r="Q597" s="56"/>
    </row>
    <row r="598" spans="3:17" ht="19.5" customHeight="1"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56"/>
      <c r="P598" s="56"/>
      <c r="Q598" s="56"/>
    </row>
    <row r="599" spans="3:17" ht="19.5" customHeight="1"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56"/>
      <c r="P599" s="56"/>
      <c r="Q599" s="56"/>
    </row>
    <row r="600" spans="3:17" ht="19.5" customHeight="1"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56"/>
      <c r="P600" s="56"/>
      <c r="Q600" s="56"/>
    </row>
    <row r="601" spans="3:17" ht="19.5" customHeight="1"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56"/>
      <c r="P601" s="56"/>
      <c r="Q601" s="56"/>
    </row>
    <row r="602" spans="3:17" ht="19.5" customHeight="1"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56"/>
      <c r="P602" s="56"/>
      <c r="Q602" s="56"/>
    </row>
    <row r="603" spans="3:17" ht="19.5" customHeight="1"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56"/>
      <c r="P603" s="56"/>
      <c r="Q603" s="56"/>
    </row>
    <row r="604" spans="3:17" ht="19.5" customHeight="1"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56"/>
      <c r="P604" s="56"/>
      <c r="Q604" s="56"/>
    </row>
    <row r="605" spans="3:17" ht="19.5" customHeight="1"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56"/>
      <c r="P605" s="56"/>
      <c r="Q605" s="56"/>
    </row>
    <row r="606" spans="3:17" ht="19.5" customHeight="1"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56"/>
      <c r="P606" s="56"/>
      <c r="Q606" s="56"/>
    </row>
    <row r="607" spans="3:17" ht="19.5" customHeight="1"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56"/>
      <c r="P607" s="56"/>
      <c r="Q607" s="56"/>
    </row>
    <row r="608" spans="3:17" ht="19.5" customHeight="1"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56"/>
      <c r="P608" s="56"/>
      <c r="Q608" s="56"/>
    </row>
    <row r="609" spans="3:17" ht="19.5" customHeight="1"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56"/>
      <c r="P609" s="56"/>
      <c r="Q609" s="56"/>
    </row>
    <row r="610" spans="3:17" ht="19.5" customHeight="1"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56"/>
      <c r="P610" s="56"/>
      <c r="Q610" s="56"/>
    </row>
    <row r="611" spans="3:17" ht="19.5" customHeight="1"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56"/>
      <c r="P611" s="56"/>
      <c r="Q611" s="56"/>
    </row>
    <row r="612" spans="3:17" ht="19.5" customHeight="1"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56"/>
      <c r="P612" s="56"/>
      <c r="Q612" s="56"/>
    </row>
    <row r="613" spans="3:17" ht="19.5" customHeight="1"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56"/>
      <c r="P613" s="56"/>
      <c r="Q613" s="56"/>
    </row>
    <row r="614" spans="3:17" ht="19.5" customHeight="1"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56"/>
      <c r="P614" s="56"/>
      <c r="Q614" s="56"/>
    </row>
    <row r="615" spans="3:17" ht="19.5" customHeight="1"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56"/>
      <c r="P615" s="56"/>
      <c r="Q615" s="56"/>
    </row>
    <row r="616" spans="3:17" ht="19.5" customHeight="1"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56"/>
      <c r="P616" s="56"/>
      <c r="Q616" s="56"/>
    </row>
    <row r="617" spans="3:17" ht="19.5" customHeight="1"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56"/>
      <c r="P617" s="56"/>
      <c r="Q617" s="56"/>
    </row>
    <row r="618" spans="3:17" ht="19.5" customHeight="1"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56"/>
      <c r="P618" s="56"/>
      <c r="Q618" s="56"/>
    </row>
    <row r="619" spans="3:17" ht="19.5" customHeight="1"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56"/>
      <c r="P619" s="56"/>
      <c r="Q619" s="56"/>
    </row>
    <row r="620" spans="3:17" ht="19.5" customHeight="1"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56"/>
      <c r="P620" s="56"/>
      <c r="Q620" s="56"/>
    </row>
    <row r="621" spans="3:17" ht="19.5" customHeight="1"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56"/>
      <c r="P621" s="56"/>
      <c r="Q621" s="56"/>
    </row>
    <row r="622" spans="3:17" ht="19.5" customHeight="1"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56"/>
      <c r="P622" s="56"/>
      <c r="Q622" s="56"/>
    </row>
    <row r="623" spans="3:17" ht="19.5" customHeight="1"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56"/>
      <c r="P623" s="56"/>
      <c r="Q623" s="56"/>
    </row>
    <row r="624" spans="3:17" ht="19.5" customHeight="1"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56"/>
      <c r="P624" s="56"/>
      <c r="Q624" s="56"/>
    </row>
    <row r="625" spans="3:17" ht="19.5" customHeight="1"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56"/>
      <c r="P625" s="56"/>
      <c r="Q625" s="56"/>
    </row>
    <row r="626" spans="3:17" ht="19.5" customHeight="1"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56"/>
      <c r="P626" s="56"/>
      <c r="Q626" s="56"/>
    </row>
    <row r="627" spans="3:17" ht="19.5" customHeight="1"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56"/>
      <c r="P627" s="56"/>
      <c r="Q627" s="56"/>
    </row>
    <row r="628" spans="3:17" ht="19.5" customHeight="1"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56"/>
      <c r="P628" s="56"/>
      <c r="Q628" s="56"/>
    </row>
    <row r="629" spans="3:17" ht="19.5" customHeight="1"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56"/>
      <c r="P629" s="56"/>
      <c r="Q629" s="56"/>
    </row>
    <row r="630" spans="3:17" ht="19.5" customHeight="1"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56"/>
      <c r="P630" s="56"/>
      <c r="Q630" s="56"/>
    </row>
    <row r="631" spans="3:17" ht="19.5" customHeight="1"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56"/>
      <c r="P631" s="56"/>
      <c r="Q631" s="56"/>
    </row>
    <row r="632" spans="3:17" ht="19.5" customHeight="1"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56"/>
      <c r="P632" s="56"/>
      <c r="Q632" s="56"/>
    </row>
    <row r="633" spans="3:17" ht="19.5" customHeight="1"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56"/>
      <c r="P633" s="56"/>
      <c r="Q633" s="56"/>
    </row>
    <row r="634" spans="3:17" ht="19.5" customHeight="1"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56"/>
      <c r="P634" s="56"/>
      <c r="Q634" s="56"/>
    </row>
    <row r="635" spans="3:17" ht="19.5" customHeight="1"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56"/>
      <c r="P635" s="56"/>
      <c r="Q635" s="56"/>
    </row>
    <row r="636" spans="3:17" ht="19.5" customHeight="1"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56"/>
      <c r="P636" s="56"/>
      <c r="Q636" s="56"/>
    </row>
    <row r="637" spans="3:17" ht="19.5" customHeight="1"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56"/>
      <c r="P637" s="56"/>
      <c r="Q637" s="56"/>
    </row>
    <row r="638" spans="3:17" ht="19.5" customHeight="1"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56"/>
      <c r="P638" s="56"/>
      <c r="Q638" s="56"/>
    </row>
    <row r="639" spans="3:17" ht="19.5" customHeight="1"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56"/>
      <c r="P639" s="56"/>
      <c r="Q639" s="56"/>
    </row>
    <row r="640" spans="3:17" ht="19.5" customHeight="1"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56"/>
      <c r="P640" s="56"/>
      <c r="Q640" s="56"/>
    </row>
    <row r="641" spans="3:17" ht="19.5" customHeight="1"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56"/>
      <c r="P641" s="56"/>
      <c r="Q641" s="56"/>
    </row>
    <row r="642" spans="3:17" ht="19.5" customHeight="1"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56"/>
      <c r="P642" s="56"/>
      <c r="Q642" s="56"/>
    </row>
    <row r="643" spans="3:17" ht="19.5" customHeight="1"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56"/>
      <c r="P643" s="56"/>
      <c r="Q643" s="56"/>
    </row>
    <row r="644" spans="3:17" ht="19.5" customHeight="1"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56"/>
      <c r="P644" s="56"/>
      <c r="Q644" s="56"/>
    </row>
    <row r="645" spans="3:17" ht="19.5" customHeight="1"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56"/>
      <c r="P645" s="56"/>
      <c r="Q645" s="56"/>
    </row>
    <row r="646" spans="3:17" ht="19.5" customHeight="1"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56"/>
      <c r="P646" s="56"/>
      <c r="Q646" s="56"/>
    </row>
    <row r="647" spans="3:17" ht="19.5" customHeight="1"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56"/>
      <c r="P647" s="56"/>
      <c r="Q647" s="56"/>
    </row>
    <row r="648" spans="3:17" ht="19.5" customHeight="1"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56"/>
      <c r="P648" s="56"/>
      <c r="Q648" s="56"/>
    </row>
    <row r="649" spans="3:17" ht="19.5" customHeight="1"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56"/>
      <c r="P649" s="56"/>
      <c r="Q649" s="56"/>
    </row>
    <row r="650" spans="3:17" ht="19.5" customHeight="1"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56"/>
      <c r="P650" s="56"/>
      <c r="Q650" s="56"/>
    </row>
    <row r="651" spans="3:17" ht="19.5" customHeight="1"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56"/>
      <c r="P651" s="56"/>
      <c r="Q651" s="56"/>
    </row>
    <row r="652" spans="3:17" ht="19.5" customHeight="1"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56"/>
      <c r="P652" s="56"/>
      <c r="Q652" s="56"/>
    </row>
    <row r="653" spans="3:17" ht="19.5" customHeight="1"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56"/>
      <c r="P653" s="56"/>
      <c r="Q653" s="56"/>
    </row>
    <row r="654" spans="3:17" ht="19.5" customHeight="1"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56"/>
      <c r="P654" s="56"/>
      <c r="Q654" s="56"/>
    </row>
    <row r="655" spans="3:17" ht="19.5" customHeight="1"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56"/>
      <c r="P655" s="56"/>
      <c r="Q655" s="56"/>
    </row>
    <row r="656" spans="3:17" ht="19.5" customHeight="1"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56"/>
      <c r="P656" s="56"/>
      <c r="Q656" s="56"/>
    </row>
    <row r="657" spans="3:17" ht="19.5" customHeight="1"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56"/>
      <c r="P657" s="56"/>
      <c r="Q657" s="56"/>
    </row>
    <row r="658" spans="3:17" ht="19.5" customHeight="1"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56"/>
      <c r="P658" s="56"/>
      <c r="Q658" s="56"/>
    </row>
    <row r="659" spans="3:17" ht="19.5" customHeight="1"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56"/>
      <c r="P659" s="56"/>
      <c r="Q659" s="56"/>
    </row>
    <row r="660" spans="3:17" ht="19.5" customHeight="1"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56"/>
      <c r="P660" s="56"/>
      <c r="Q660" s="56"/>
    </row>
    <row r="661" spans="3:17" ht="19.5" customHeight="1"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56"/>
      <c r="P661" s="56"/>
      <c r="Q661" s="56"/>
    </row>
    <row r="662" spans="3:17" ht="19.5" customHeight="1"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56"/>
      <c r="P662" s="56"/>
      <c r="Q662" s="56"/>
    </row>
    <row r="663" spans="3:17" ht="19.5" customHeight="1"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56"/>
      <c r="P663" s="56"/>
      <c r="Q663" s="56"/>
    </row>
    <row r="664" spans="3:17" ht="19.5" customHeight="1"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56"/>
      <c r="P664" s="56"/>
      <c r="Q664" s="56"/>
    </row>
    <row r="665" spans="3:17" ht="19.5" customHeight="1"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56"/>
      <c r="P665" s="56"/>
      <c r="Q665" s="56"/>
    </row>
    <row r="666" spans="3:17" ht="19.5" customHeight="1"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56"/>
      <c r="P666" s="56"/>
      <c r="Q666" s="56"/>
    </row>
    <row r="667" spans="3:17" ht="19.5" customHeight="1"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56"/>
      <c r="P667" s="56"/>
      <c r="Q667" s="56"/>
    </row>
    <row r="668" spans="3:17" ht="19.5" customHeight="1"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56"/>
      <c r="P668" s="56"/>
      <c r="Q668" s="56"/>
    </row>
    <row r="669" spans="3:17" ht="19.5" customHeight="1"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56"/>
      <c r="P669" s="56"/>
      <c r="Q669" s="56"/>
    </row>
    <row r="670" spans="3:17" ht="19.5" customHeight="1"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56"/>
      <c r="P670" s="56"/>
      <c r="Q670" s="56"/>
    </row>
    <row r="671" spans="3:17" ht="19.5" customHeight="1"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56"/>
      <c r="P671" s="56"/>
      <c r="Q671" s="56"/>
    </row>
    <row r="672" spans="3:17" ht="19.5" customHeight="1"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56"/>
      <c r="P672" s="56"/>
      <c r="Q672" s="56"/>
    </row>
    <row r="673" spans="3:17" ht="19.5" customHeight="1"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56"/>
      <c r="P673" s="56"/>
      <c r="Q673" s="56"/>
    </row>
    <row r="674" spans="3:17" ht="19.5" customHeight="1"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56"/>
      <c r="P674" s="56"/>
      <c r="Q674" s="56"/>
    </row>
    <row r="675" spans="3:17" ht="19.5" customHeight="1"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56"/>
      <c r="P675" s="56"/>
      <c r="Q675" s="56"/>
    </row>
    <row r="676" spans="3:17" ht="19.5" customHeight="1"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56"/>
      <c r="P676" s="56"/>
      <c r="Q676" s="56"/>
    </row>
    <row r="677" spans="3:17" ht="19.5" customHeight="1"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56"/>
      <c r="P677" s="56"/>
      <c r="Q677" s="56"/>
    </row>
    <row r="678" spans="3:17" ht="19.5" customHeight="1"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56"/>
      <c r="P678" s="56"/>
      <c r="Q678" s="56"/>
    </row>
    <row r="679" spans="3:17" ht="19.5" customHeight="1"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56"/>
      <c r="P679" s="56"/>
      <c r="Q679" s="56"/>
    </row>
    <row r="680" spans="3:17" ht="19.5" customHeight="1"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56"/>
      <c r="P680" s="56"/>
      <c r="Q680" s="56"/>
    </row>
    <row r="681" spans="3:17" ht="19.5" customHeight="1"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56"/>
      <c r="P681" s="56"/>
      <c r="Q681" s="56"/>
    </row>
    <row r="682" spans="3:17" ht="19.5" customHeight="1"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56"/>
      <c r="P682" s="56"/>
      <c r="Q682" s="56"/>
    </row>
    <row r="683" spans="3:17" ht="19.5" customHeight="1"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56"/>
      <c r="P683" s="56"/>
      <c r="Q683" s="56"/>
    </row>
    <row r="684" spans="3:17" ht="19.5" customHeight="1"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56"/>
      <c r="P684" s="56"/>
      <c r="Q684" s="56"/>
    </row>
    <row r="685" spans="3:17" ht="19.5" customHeight="1"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56"/>
      <c r="P685" s="56"/>
      <c r="Q685" s="56"/>
    </row>
    <row r="686" spans="3:17" ht="19.5" customHeight="1"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56"/>
      <c r="P686" s="56"/>
      <c r="Q686" s="56"/>
    </row>
    <row r="687" spans="3:17" ht="19.5" customHeight="1"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56"/>
      <c r="P687" s="56"/>
      <c r="Q687" s="56"/>
    </row>
    <row r="688" spans="3:17" ht="19.5" customHeight="1"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56"/>
      <c r="P688" s="56"/>
      <c r="Q688" s="56"/>
    </row>
    <row r="689" spans="3:17" ht="19.5" customHeight="1"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56"/>
      <c r="P689" s="56"/>
      <c r="Q689" s="56"/>
    </row>
    <row r="690" spans="3:17" ht="19.5" customHeight="1"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56"/>
      <c r="P690" s="56"/>
      <c r="Q690" s="56"/>
    </row>
    <row r="691" spans="3:17" ht="19.5" customHeight="1"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56"/>
      <c r="P691" s="56"/>
      <c r="Q691" s="56"/>
    </row>
    <row r="692" spans="3:17" ht="19.5" customHeight="1"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56"/>
      <c r="P692" s="56"/>
      <c r="Q692" s="56"/>
    </row>
    <row r="693" spans="3:17" ht="19.5" customHeight="1"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56"/>
      <c r="P693" s="56"/>
      <c r="Q693" s="56"/>
    </row>
    <row r="694" spans="3:17" ht="19.5" customHeight="1"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56"/>
      <c r="P694" s="56"/>
      <c r="Q694" s="56"/>
    </row>
    <row r="695" spans="3:17" ht="19.5" customHeight="1"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56"/>
      <c r="P695" s="56"/>
      <c r="Q695" s="56"/>
    </row>
    <row r="696" spans="3:17" ht="19.5" customHeight="1"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56"/>
      <c r="P696" s="56"/>
      <c r="Q696" s="56"/>
    </row>
    <row r="697" spans="3:17" ht="19.5" customHeight="1"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56"/>
      <c r="P697" s="56"/>
      <c r="Q697" s="56"/>
    </row>
    <row r="698" spans="3:17" ht="19.5" customHeight="1"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56"/>
      <c r="P698" s="56"/>
      <c r="Q698" s="56"/>
    </row>
    <row r="699" spans="3:17" ht="19.5" customHeight="1"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56"/>
      <c r="P699" s="56"/>
      <c r="Q699" s="56"/>
    </row>
    <row r="700" spans="3:17" ht="19.5" customHeight="1"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56"/>
      <c r="P700" s="56"/>
      <c r="Q700" s="56"/>
    </row>
    <row r="701" spans="3:17" ht="19.5" customHeight="1"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56"/>
      <c r="P701" s="56"/>
      <c r="Q701" s="56"/>
    </row>
    <row r="702" spans="3:17" ht="19.5" customHeight="1"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56"/>
      <c r="P702" s="56"/>
      <c r="Q702" s="56"/>
    </row>
    <row r="703" spans="3:17" ht="19.5" customHeight="1"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56"/>
      <c r="P703" s="56"/>
      <c r="Q703" s="56"/>
    </row>
    <row r="704" spans="3:17" ht="19.5" customHeight="1"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56"/>
      <c r="P704" s="56"/>
      <c r="Q704" s="56"/>
    </row>
    <row r="705" spans="3:17" ht="19.5" customHeight="1"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56"/>
      <c r="P705" s="56"/>
      <c r="Q705" s="56"/>
    </row>
    <row r="706" spans="3:17" ht="19.5" customHeight="1"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56"/>
      <c r="P706" s="56"/>
      <c r="Q706" s="56"/>
    </row>
    <row r="707" spans="3:17" ht="19.5" customHeight="1"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56"/>
      <c r="P707" s="56"/>
      <c r="Q707" s="56"/>
    </row>
    <row r="708" spans="3:17" ht="19.5" customHeight="1"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56"/>
      <c r="P708" s="56"/>
      <c r="Q708" s="56"/>
    </row>
    <row r="709" spans="3:17" ht="19.5" customHeight="1"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56"/>
      <c r="P709" s="56"/>
      <c r="Q709" s="56"/>
    </row>
    <row r="710" spans="3:17" ht="19.5" customHeight="1"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56"/>
      <c r="P710" s="56"/>
      <c r="Q710" s="56"/>
    </row>
    <row r="711" spans="3:17" ht="19.5" customHeight="1"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56"/>
      <c r="P711" s="56"/>
      <c r="Q711" s="56"/>
    </row>
    <row r="712" spans="3:17" ht="19.5" customHeight="1"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56"/>
      <c r="P712" s="56"/>
      <c r="Q712" s="56"/>
    </row>
    <row r="713" spans="3:17" ht="19.5" customHeight="1"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56"/>
      <c r="P713" s="56"/>
      <c r="Q713" s="56"/>
    </row>
    <row r="714" spans="3:17" ht="19.5" customHeight="1"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56"/>
      <c r="P714" s="56"/>
      <c r="Q714" s="56"/>
    </row>
    <row r="715" spans="3:17" ht="19.5" customHeight="1"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56"/>
      <c r="P715" s="56"/>
      <c r="Q715" s="56"/>
    </row>
    <row r="716" spans="3:17" ht="19.5" customHeight="1"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56"/>
      <c r="P716" s="56"/>
      <c r="Q716" s="56"/>
    </row>
    <row r="717" spans="3:17" ht="19.5" customHeight="1"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56"/>
      <c r="P717" s="56"/>
      <c r="Q717" s="56"/>
    </row>
    <row r="718" spans="3:17" ht="19.5" customHeight="1"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56"/>
      <c r="P718" s="56"/>
      <c r="Q718" s="56"/>
    </row>
    <row r="719" spans="3:17" ht="19.5" customHeight="1"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56"/>
      <c r="P719" s="56"/>
      <c r="Q719" s="56"/>
    </row>
    <row r="720" spans="3:17" ht="19.5" customHeight="1"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56"/>
      <c r="P720" s="56"/>
      <c r="Q720" s="56"/>
    </row>
    <row r="721" spans="3:17" ht="19.5" customHeight="1"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56"/>
      <c r="P721" s="56"/>
      <c r="Q721" s="56"/>
    </row>
    <row r="722" spans="3:17" ht="19.5" customHeight="1"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56"/>
      <c r="P722" s="56"/>
      <c r="Q722" s="56"/>
    </row>
    <row r="723" spans="3:17" ht="19.5" customHeight="1"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56"/>
      <c r="P723" s="56"/>
      <c r="Q723" s="56"/>
    </row>
    <row r="724" spans="3:17" ht="19.5" customHeight="1"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56"/>
      <c r="P724" s="56"/>
      <c r="Q724" s="56"/>
    </row>
    <row r="725" spans="3:17" ht="19.5" customHeight="1"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56"/>
      <c r="P725" s="56"/>
      <c r="Q725" s="56"/>
    </row>
    <row r="726" spans="3:17" ht="19.5" customHeight="1"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56"/>
      <c r="P726" s="56"/>
      <c r="Q726" s="56"/>
    </row>
    <row r="727" spans="3:17" ht="19.5" customHeight="1"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56"/>
      <c r="P727" s="56"/>
      <c r="Q727" s="56"/>
    </row>
    <row r="728" spans="3:17" ht="19.5" customHeight="1"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56"/>
      <c r="P728" s="56"/>
      <c r="Q728" s="56"/>
    </row>
    <row r="729" spans="3:17" ht="19.5" customHeight="1"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56"/>
      <c r="P729" s="56"/>
      <c r="Q729" s="56"/>
    </row>
    <row r="730" spans="3:17" ht="19.5" customHeight="1"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56"/>
      <c r="P730" s="56"/>
      <c r="Q730" s="56"/>
    </row>
    <row r="731" spans="3:17" ht="19.5" customHeight="1"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56"/>
      <c r="P731" s="56"/>
      <c r="Q731" s="56"/>
    </row>
    <row r="732" spans="3:17" ht="19.5" customHeight="1"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56"/>
      <c r="P732" s="56"/>
      <c r="Q732" s="56"/>
    </row>
    <row r="733" spans="3:17" ht="19.5" customHeight="1"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56"/>
      <c r="P733" s="56"/>
      <c r="Q733" s="56"/>
    </row>
    <row r="734" spans="3:17" ht="19.5" customHeight="1"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56"/>
      <c r="P734" s="56"/>
      <c r="Q734" s="56"/>
    </row>
    <row r="735" spans="3:17" ht="19.5" customHeight="1"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56"/>
      <c r="P735" s="56"/>
      <c r="Q735" s="56"/>
    </row>
    <row r="736" spans="3:17" ht="19.5" customHeight="1"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56"/>
      <c r="P736" s="56"/>
      <c r="Q736" s="56"/>
    </row>
    <row r="737" spans="3:17" ht="19.5" customHeight="1"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56"/>
      <c r="P737" s="56"/>
      <c r="Q737" s="56"/>
    </row>
    <row r="738" spans="3:17" ht="19.5" customHeight="1"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56"/>
      <c r="P738" s="56"/>
      <c r="Q738" s="56"/>
    </row>
    <row r="739" spans="3:17" ht="19.5" customHeight="1"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56"/>
      <c r="P739" s="56"/>
      <c r="Q739" s="56"/>
    </row>
    <row r="740" spans="3:17" ht="19.5" customHeight="1"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56"/>
      <c r="P740" s="56"/>
      <c r="Q740" s="56"/>
    </row>
    <row r="741" spans="3:17" ht="19.5" customHeight="1"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56"/>
      <c r="P741" s="56"/>
      <c r="Q741" s="56"/>
    </row>
    <row r="742" spans="3:17" ht="19.5" customHeight="1"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56"/>
      <c r="P742" s="56"/>
      <c r="Q742" s="56"/>
    </row>
    <row r="743" spans="3:17" ht="19.5" customHeight="1"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56"/>
      <c r="P743" s="56"/>
      <c r="Q743" s="56"/>
    </row>
    <row r="744" spans="3:17" ht="19.5" customHeight="1"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56"/>
      <c r="P744" s="56"/>
      <c r="Q744" s="56"/>
    </row>
    <row r="745" spans="3:17" ht="19.5" customHeight="1"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56"/>
      <c r="P745" s="56"/>
      <c r="Q745" s="56"/>
    </row>
    <row r="746" spans="3:17" ht="19.5" customHeight="1"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56"/>
      <c r="P746" s="56"/>
      <c r="Q746" s="56"/>
    </row>
    <row r="747" spans="3:17" ht="19.5" customHeight="1"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56"/>
      <c r="P747" s="56"/>
      <c r="Q747" s="56"/>
    </row>
    <row r="748" spans="3:17" ht="19.5" customHeight="1"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56"/>
      <c r="P748" s="56"/>
      <c r="Q748" s="56"/>
    </row>
    <row r="749" spans="3:17" ht="19.5" customHeight="1"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56"/>
      <c r="P749" s="56"/>
      <c r="Q749" s="56"/>
    </row>
    <row r="750" spans="3:17" ht="19.5" customHeight="1"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56"/>
      <c r="P750" s="56"/>
      <c r="Q750" s="56"/>
    </row>
    <row r="751" spans="3:17" ht="19.5" customHeight="1"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56"/>
      <c r="P751" s="56"/>
      <c r="Q751" s="56"/>
    </row>
    <row r="752" spans="3:17" ht="19.5" customHeight="1"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56"/>
      <c r="P752" s="56"/>
      <c r="Q752" s="56"/>
    </row>
    <row r="753" spans="3:17" ht="19.5" customHeight="1"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56"/>
      <c r="P753" s="56"/>
      <c r="Q753" s="56"/>
    </row>
    <row r="754" spans="3:17" ht="19.5" customHeight="1"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56"/>
      <c r="P754" s="56"/>
      <c r="Q754" s="56"/>
    </row>
    <row r="755" spans="3:17" ht="19.5" customHeight="1"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56"/>
      <c r="P755" s="56"/>
      <c r="Q755" s="56"/>
    </row>
    <row r="756" spans="3:17" ht="19.5" customHeight="1"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56"/>
      <c r="P756" s="56"/>
      <c r="Q756" s="56"/>
    </row>
    <row r="757" spans="3:17" ht="19.5" customHeight="1"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56"/>
      <c r="P757" s="56"/>
      <c r="Q757" s="56"/>
    </row>
    <row r="758" spans="3:17" ht="19.5" customHeight="1"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56"/>
      <c r="P758" s="56"/>
      <c r="Q758" s="56"/>
    </row>
    <row r="759" spans="3:17" ht="19.5" customHeight="1"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56"/>
      <c r="P759" s="56"/>
      <c r="Q759" s="56"/>
    </row>
    <row r="760" spans="3:17" ht="19.5" customHeight="1"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56"/>
      <c r="P760" s="56"/>
      <c r="Q760" s="56"/>
    </row>
    <row r="761" spans="3:17" ht="19.5" customHeight="1"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56"/>
      <c r="P761" s="56"/>
      <c r="Q761" s="56"/>
    </row>
    <row r="762" spans="3:17" ht="19.5" customHeight="1"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56"/>
      <c r="P762" s="56"/>
      <c r="Q762" s="56"/>
    </row>
    <row r="763" spans="3:17" ht="19.5" customHeight="1"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56"/>
      <c r="P763" s="56"/>
      <c r="Q763" s="56"/>
    </row>
    <row r="764" spans="3:17" ht="19.5" customHeight="1"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56"/>
      <c r="P764" s="56"/>
      <c r="Q764" s="56"/>
    </row>
    <row r="765" spans="3:17" ht="19.5" customHeight="1"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56"/>
      <c r="P765" s="56"/>
      <c r="Q765" s="56"/>
    </row>
    <row r="766" spans="3:17" ht="19.5" customHeight="1"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56"/>
      <c r="P766" s="56"/>
      <c r="Q766" s="56"/>
    </row>
    <row r="767" spans="3:17" ht="19.5" customHeight="1"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56"/>
      <c r="P767" s="56"/>
      <c r="Q767" s="56"/>
    </row>
    <row r="768" spans="3:17" ht="19.5" customHeight="1"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56"/>
      <c r="P768" s="56"/>
      <c r="Q768" s="56"/>
    </row>
    <row r="769" spans="3:17" ht="19.5" customHeight="1"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56"/>
      <c r="P769" s="56"/>
      <c r="Q769" s="56"/>
    </row>
    <row r="770" spans="3:17" ht="19.5" customHeight="1"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56"/>
      <c r="P770" s="56"/>
      <c r="Q770" s="56"/>
    </row>
    <row r="771" spans="3:17" ht="19.5" customHeight="1"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56"/>
      <c r="P771" s="56"/>
      <c r="Q771" s="56"/>
    </row>
    <row r="772" spans="3:17" ht="19.5" customHeight="1"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56"/>
      <c r="P772" s="56"/>
      <c r="Q772" s="56"/>
    </row>
    <row r="773" spans="3:17" ht="19.5" customHeight="1"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56"/>
      <c r="P773" s="56"/>
      <c r="Q773" s="56"/>
    </row>
    <row r="774" spans="3:17" ht="19.5" customHeight="1"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56"/>
      <c r="P774" s="56"/>
      <c r="Q774" s="56"/>
    </row>
    <row r="775" spans="3:17" ht="19.5" customHeight="1"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56"/>
      <c r="P775" s="56"/>
      <c r="Q775" s="56"/>
    </row>
    <row r="776" spans="3:17" ht="19.5" customHeight="1"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56"/>
      <c r="P776" s="56"/>
      <c r="Q776" s="56"/>
    </row>
    <row r="777" spans="3:17" ht="19.5" customHeight="1"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56"/>
      <c r="P777" s="56"/>
      <c r="Q777" s="56"/>
    </row>
    <row r="778" spans="3:17" ht="19.5" customHeight="1"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56"/>
      <c r="P778" s="56"/>
      <c r="Q778" s="56"/>
    </row>
    <row r="779" spans="3:17" ht="19.5" customHeight="1"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56"/>
      <c r="P779" s="56"/>
      <c r="Q779" s="56"/>
    </row>
    <row r="780" spans="3:17" ht="19.5" customHeight="1"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56"/>
      <c r="P780" s="56"/>
      <c r="Q780" s="56"/>
    </row>
    <row r="781" spans="3:17" ht="19.5" customHeight="1"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56"/>
      <c r="P781" s="56"/>
      <c r="Q781" s="56"/>
    </row>
    <row r="782" spans="3:17" ht="19.5" customHeight="1"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56"/>
      <c r="P782" s="56"/>
      <c r="Q782" s="56"/>
    </row>
    <row r="783" spans="3:17" ht="19.5" customHeight="1"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56"/>
      <c r="P783" s="56"/>
      <c r="Q783" s="56"/>
    </row>
    <row r="784" spans="3:17" ht="19.5" customHeight="1"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56"/>
      <c r="P784" s="56"/>
      <c r="Q784" s="56"/>
    </row>
    <row r="785" spans="3:17" ht="19.5" customHeight="1"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56"/>
      <c r="P785" s="56"/>
      <c r="Q785" s="56"/>
    </row>
    <row r="786" spans="3:17" ht="19.5" customHeight="1"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56"/>
      <c r="P786" s="56"/>
      <c r="Q786" s="56"/>
    </row>
    <row r="787" spans="3:17" ht="19.5" customHeight="1"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56"/>
      <c r="P787" s="56"/>
      <c r="Q787" s="56"/>
    </row>
    <row r="788" spans="3:17" ht="19.5" customHeight="1"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56"/>
      <c r="P788" s="56"/>
      <c r="Q788" s="56"/>
    </row>
    <row r="789" spans="3:17" ht="19.5" customHeight="1"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56"/>
      <c r="P789" s="56"/>
      <c r="Q789" s="56"/>
    </row>
    <row r="790" spans="3:17" ht="19.5" customHeight="1"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56"/>
      <c r="P790" s="56"/>
      <c r="Q790" s="56"/>
    </row>
    <row r="791" spans="3:17" ht="19.5" customHeight="1"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56"/>
      <c r="P791" s="56"/>
      <c r="Q791" s="56"/>
    </row>
    <row r="792" spans="3:17" ht="19.5" customHeight="1"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56"/>
      <c r="P792" s="56"/>
      <c r="Q792" s="56"/>
    </row>
    <row r="793" spans="3:17" ht="19.5" customHeight="1"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56"/>
      <c r="P793" s="56"/>
      <c r="Q793" s="56"/>
    </row>
    <row r="794" spans="3:17" ht="19.5" customHeight="1"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56"/>
      <c r="P794" s="56"/>
      <c r="Q794" s="56"/>
    </row>
    <row r="795" spans="3:17" ht="19.5" customHeight="1"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56"/>
      <c r="P795" s="56"/>
      <c r="Q795" s="56"/>
    </row>
    <row r="796" spans="3:17" ht="19.5" customHeight="1"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56"/>
      <c r="P796" s="56"/>
      <c r="Q796" s="56"/>
    </row>
    <row r="797" spans="3:17" ht="19.5" customHeight="1"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56"/>
      <c r="P797" s="56"/>
      <c r="Q797" s="56"/>
    </row>
    <row r="798" spans="3:17" ht="19.5" customHeight="1"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56"/>
      <c r="P798" s="56"/>
      <c r="Q798" s="56"/>
    </row>
    <row r="799" spans="3:17" ht="19.5" customHeight="1"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56"/>
      <c r="P799" s="56"/>
      <c r="Q799" s="56"/>
    </row>
    <row r="800" spans="3:17" ht="19.5" customHeight="1"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56"/>
      <c r="P800" s="56"/>
      <c r="Q800" s="56"/>
    </row>
    <row r="801" spans="3:17" ht="19.5" customHeight="1"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56"/>
      <c r="P801" s="56"/>
      <c r="Q801" s="56"/>
    </row>
    <row r="802" spans="3:17" ht="19.5" customHeight="1"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56"/>
      <c r="P802" s="56"/>
      <c r="Q802" s="56"/>
    </row>
    <row r="803" spans="3:17" ht="19.5" customHeight="1"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56"/>
      <c r="P803" s="56"/>
      <c r="Q803" s="56"/>
    </row>
    <row r="804" spans="3:17" ht="19.5" customHeight="1"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56"/>
      <c r="P804" s="56"/>
      <c r="Q804" s="56"/>
    </row>
    <row r="805" spans="3:17" ht="19.5" customHeight="1"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56"/>
      <c r="P805" s="56"/>
      <c r="Q805" s="56"/>
    </row>
    <row r="806" spans="3:17" ht="19.5" customHeight="1"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56"/>
      <c r="P806" s="56"/>
      <c r="Q806" s="56"/>
    </row>
    <row r="807" spans="3:17" ht="19.5" customHeight="1"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56"/>
      <c r="P807" s="56"/>
      <c r="Q807" s="56"/>
    </row>
    <row r="808" spans="3:17" ht="19.5" customHeight="1"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56"/>
      <c r="P808" s="56"/>
      <c r="Q808" s="56"/>
    </row>
    <row r="809" spans="3:17" ht="19.5" customHeight="1"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56"/>
      <c r="P809" s="56"/>
      <c r="Q809" s="56"/>
    </row>
    <row r="810" spans="3:17" ht="19.5" customHeight="1"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56"/>
      <c r="P810" s="56"/>
      <c r="Q810" s="56"/>
    </row>
    <row r="811" spans="3:17" ht="19.5" customHeight="1"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56"/>
      <c r="P811" s="56"/>
      <c r="Q811" s="56"/>
    </row>
    <row r="812" spans="3:17" ht="19.5" customHeight="1"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56"/>
      <c r="P812" s="56"/>
      <c r="Q812" s="56"/>
    </row>
    <row r="813" spans="3:17" ht="19.5" customHeight="1"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56"/>
      <c r="P813" s="56"/>
      <c r="Q813" s="56"/>
    </row>
    <row r="814" spans="3:17" ht="19.5" customHeight="1"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56"/>
      <c r="P814" s="56"/>
      <c r="Q814" s="56"/>
    </row>
    <row r="815" spans="3:17" ht="19.5" customHeight="1"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56"/>
      <c r="P815" s="56"/>
      <c r="Q815" s="56"/>
    </row>
    <row r="816" spans="3:17" ht="19.5" customHeight="1"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56"/>
      <c r="P816" s="56"/>
      <c r="Q816" s="56"/>
    </row>
    <row r="817" spans="3:17" ht="19.5" customHeight="1"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56"/>
      <c r="P817" s="56"/>
      <c r="Q817" s="56"/>
    </row>
    <row r="818" spans="3:17" ht="19.5" customHeight="1"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56"/>
      <c r="P818" s="56"/>
      <c r="Q818" s="56"/>
    </row>
    <row r="819" spans="3:17" ht="19.5" customHeight="1"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56"/>
      <c r="P819" s="56"/>
      <c r="Q819" s="56"/>
    </row>
    <row r="820" spans="3:17" ht="19.5" customHeight="1"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56"/>
      <c r="P820" s="56"/>
      <c r="Q820" s="56"/>
    </row>
    <row r="821" spans="3:17" ht="19.5" customHeight="1"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56"/>
      <c r="P821" s="56"/>
      <c r="Q821" s="56"/>
    </row>
    <row r="822" spans="3:17" ht="19.5" customHeight="1"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56"/>
      <c r="P822" s="56"/>
      <c r="Q822" s="56"/>
    </row>
    <row r="823" spans="3:17" ht="19.5" customHeight="1"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56"/>
      <c r="P823" s="56"/>
      <c r="Q823" s="56"/>
    </row>
    <row r="824" spans="3:17" ht="19.5" customHeight="1"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56"/>
      <c r="P824" s="56"/>
      <c r="Q824" s="56"/>
    </row>
    <row r="825" spans="3:17" ht="19.5" customHeight="1"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56"/>
      <c r="P825" s="56"/>
      <c r="Q825" s="56"/>
    </row>
    <row r="826" spans="3:17" ht="19.5" customHeight="1"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56"/>
      <c r="P826" s="56"/>
      <c r="Q826" s="56"/>
    </row>
    <row r="827" spans="3:17" ht="19.5" customHeight="1"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56"/>
      <c r="P827" s="56"/>
      <c r="Q827" s="56"/>
    </row>
    <row r="828" spans="3:17" ht="19.5" customHeight="1"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56"/>
      <c r="P828" s="56"/>
      <c r="Q828" s="56"/>
    </row>
    <row r="829" spans="3:17" ht="19.5" customHeight="1"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56"/>
      <c r="P829" s="56"/>
      <c r="Q829" s="56"/>
    </row>
    <row r="830" spans="3:17" ht="19.5" customHeight="1"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56"/>
      <c r="P830" s="56"/>
      <c r="Q830" s="56"/>
    </row>
    <row r="831" spans="3:17" ht="19.5" customHeight="1"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56"/>
      <c r="P831" s="56"/>
      <c r="Q831" s="56"/>
    </row>
    <row r="832" spans="3:17" ht="19.5" customHeight="1"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56"/>
      <c r="P832" s="56"/>
      <c r="Q832" s="56"/>
    </row>
    <row r="833" spans="3:17" ht="19.5" customHeight="1"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56"/>
      <c r="P833" s="56"/>
      <c r="Q833" s="56"/>
    </row>
    <row r="834" spans="3:17" ht="19.5" customHeight="1"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56"/>
      <c r="P834" s="56"/>
      <c r="Q834" s="56"/>
    </row>
    <row r="835" spans="3:17" ht="19.5" customHeight="1"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56"/>
      <c r="P835" s="56"/>
      <c r="Q835" s="56"/>
    </row>
    <row r="836" spans="3:17" ht="19.5" customHeight="1"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56"/>
      <c r="P836" s="56"/>
      <c r="Q836" s="56"/>
    </row>
    <row r="837" spans="3:17" ht="19.5" customHeight="1"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56"/>
      <c r="P837" s="56"/>
      <c r="Q837" s="56"/>
    </row>
    <row r="838" spans="3:17" ht="19.5" customHeight="1"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56"/>
      <c r="P838" s="56"/>
      <c r="Q838" s="56"/>
    </row>
    <row r="839" spans="3:17" ht="19.5" customHeight="1"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56"/>
      <c r="P839" s="56"/>
      <c r="Q839" s="56"/>
    </row>
    <row r="840" spans="3:17" ht="19.5" customHeight="1"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56"/>
      <c r="P840" s="56"/>
      <c r="Q840" s="56"/>
    </row>
    <row r="841" spans="3:17" ht="19.5" customHeight="1"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56"/>
      <c r="P841" s="56"/>
      <c r="Q841" s="56"/>
    </row>
    <row r="842" spans="3:17" ht="19.5" customHeight="1"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56"/>
      <c r="P842" s="56"/>
      <c r="Q842" s="56"/>
    </row>
    <row r="843" spans="3:17" ht="19.5" customHeight="1"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56"/>
      <c r="P843" s="56"/>
      <c r="Q843" s="56"/>
    </row>
    <row r="844" spans="3:17" ht="19.5" customHeight="1"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56"/>
      <c r="P844" s="56"/>
      <c r="Q844" s="56"/>
    </row>
    <row r="845" spans="3:17" ht="19.5" customHeight="1"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56"/>
      <c r="P845" s="56"/>
      <c r="Q845" s="56"/>
    </row>
    <row r="846" spans="3:17" ht="19.5" customHeight="1"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56"/>
      <c r="P846" s="56"/>
      <c r="Q846" s="56"/>
    </row>
    <row r="847" spans="3:17" ht="19.5" customHeight="1"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56"/>
      <c r="P847" s="56"/>
      <c r="Q847" s="56"/>
    </row>
    <row r="848" spans="3:17" ht="19.5" customHeight="1"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56"/>
      <c r="P848" s="56"/>
      <c r="Q848" s="56"/>
    </row>
    <row r="849" spans="3:17" ht="19.5" customHeight="1"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56"/>
      <c r="P849" s="56"/>
      <c r="Q849" s="56"/>
    </row>
    <row r="850" spans="3:17" ht="19.5" customHeight="1"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56"/>
      <c r="P850" s="56"/>
      <c r="Q850" s="56"/>
    </row>
    <row r="851" spans="3:17" ht="19.5" customHeight="1"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56"/>
      <c r="P851" s="56"/>
      <c r="Q851" s="56"/>
    </row>
    <row r="852" spans="3:17" ht="19.5" customHeight="1"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56"/>
      <c r="P852" s="56"/>
      <c r="Q852" s="56"/>
    </row>
    <row r="853" spans="3:17" ht="19.5" customHeight="1"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56"/>
      <c r="P853" s="56"/>
      <c r="Q853" s="56"/>
    </row>
    <row r="854" spans="3:17" ht="19.5" customHeight="1"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56"/>
      <c r="P854" s="56"/>
      <c r="Q854" s="56"/>
    </row>
    <row r="855" spans="3:17" ht="19.5" customHeight="1"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56"/>
      <c r="P855" s="56"/>
      <c r="Q855" s="56"/>
    </row>
    <row r="856" spans="3:17" ht="19.5" customHeight="1"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56"/>
      <c r="P856" s="56"/>
      <c r="Q856" s="56"/>
    </row>
    <row r="857" spans="3:17" ht="19.5" customHeight="1"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56"/>
      <c r="P857" s="56"/>
      <c r="Q857" s="56"/>
    </row>
    <row r="858" spans="3:17" ht="19.5" customHeight="1"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56"/>
      <c r="P858" s="56"/>
      <c r="Q858" s="56"/>
    </row>
    <row r="859" spans="3:17" ht="19.5" customHeight="1"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56"/>
      <c r="P859" s="56"/>
      <c r="Q859" s="56"/>
    </row>
    <row r="860" spans="3:17" ht="19.5" customHeight="1"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56"/>
      <c r="P860" s="56"/>
      <c r="Q860" s="56"/>
    </row>
    <row r="861" spans="3:17" ht="19.5" customHeight="1"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56"/>
      <c r="P861" s="56"/>
      <c r="Q861" s="56"/>
    </row>
    <row r="862" spans="3:17" ht="19.5" customHeight="1"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56"/>
      <c r="P862" s="56"/>
      <c r="Q862" s="56"/>
    </row>
    <row r="863" spans="3:17" ht="19.5" customHeight="1"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56"/>
      <c r="P863" s="56"/>
      <c r="Q863" s="56"/>
    </row>
    <row r="864" spans="3:17" ht="19.5" customHeight="1"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56"/>
      <c r="P864" s="56"/>
      <c r="Q864" s="56"/>
    </row>
    <row r="865" spans="3:17" ht="19.5" customHeight="1"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56"/>
      <c r="P865" s="56"/>
      <c r="Q865" s="56"/>
    </row>
    <row r="866" spans="3:17" ht="19.5" customHeight="1"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56"/>
      <c r="P866" s="56"/>
      <c r="Q866" s="56"/>
    </row>
    <row r="867" spans="3:17" ht="19.5" customHeight="1"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56"/>
      <c r="P867" s="56"/>
      <c r="Q867" s="56"/>
    </row>
    <row r="868" spans="3:17" ht="19.5" customHeight="1"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56"/>
      <c r="P868" s="56"/>
      <c r="Q868" s="56"/>
    </row>
    <row r="869" spans="3:17" ht="19.5" customHeight="1"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56"/>
      <c r="P869" s="56"/>
      <c r="Q869" s="56"/>
    </row>
    <row r="870" spans="3:17" ht="19.5" customHeight="1"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56"/>
      <c r="P870" s="56"/>
      <c r="Q870" s="56"/>
    </row>
    <row r="871" spans="3:17" ht="19.5" customHeight="1"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56"/>
      <c r="P871" s="56"/>
      <c r="Q871" s="56"/>
    </row>
    <row r="872" spans="3:17" ht="19.5" customHeight="1"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56"/>
      <c r="P872" s="56"/>
      <c r="Q872" s="56"/>
    </row>
    <row r="873" spans="3:17" ht="19.5" customHeight="1"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56"/>
      <c r="P873" s="56"/>
      <c r="Q873" s="56"/>
    </row>
    <row r="874" spans="3:17" ht="19.5" customHeight="1"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56"/>
      <c r="P874" s="56"/>
      <c r="Q874" s="56"/>
    </row>
    <row r="875" spans="3:17" ht="19.5" customHeight="1"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56"/>
      <c r="P875" s="56"/>
      <c r="Q875" s="56"/>
    </row>
    <row r="876" spans="3:17" ht="19.5" customHeight="1"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56"/>
      <c r="P876" s="56"/>
      <c r="Q876" s="56"/>
    </row>
    <row r="877" spans="3:17" ht="19.5" customHeight="1"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56"/>
      <c r="P877" s="56"/>
      <c r="Q877" s="56"/>
    </row>
    <row r="878" spans="3:17" ht="19.5" customHeight="1"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56"/>
      <c r="P878" s="56"/>
      <c r="Q878" s="56"/>
    </row>
    <row r="879" spans="3:17" ht="19.5" customHeight="1"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56"/>
      <c r="P879" s="56"/>
      <c r="Q879" s="56"/>
    </row>
    <row r="880" spans="3:17" ht="19.5" customHeight="1"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56"/>
      <c r="P880" s="56"/>
      <c r="Q880" s="56"/>
    </row>
    <row r="881" spans="3:17" ht="19.5" customHeight="1"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56"/>
      <c r="P881" s="56"/>
      <c r="Q881" s="56"/>
    </row>
    <row r="882" spans="3:17" ht="19.5" customHeight="1"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56"/>
      <c r="P882" s="56"/>
      <c r="Q882" s="56"/>
    </row>
    <row r="883" spans="3:17" ht="19.5" customHeight="1"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56"/>
      <c r="P883" s="56"/>
      <c r="Q883" s="56"/>
    </row>
    <row r="884" spans="3:17" ht="19.5" customHeight="1"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56"/>
      <c r="P884" s="56"/>
      <c r="Q884" s="56"/>
    </row>
    <row r="885" spans="3:17" ht="19.5" customHeight="1"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56"/>
      <c r="P885" s="56"/>
      <c r="Q885" s="56"/>
    </row>
    <row r="886" spans="3:17" ht="19.5" customHeight="1"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56"/>
      <c r="P886" s="56"/>
      <c r="Q886" s="56"/>
    </row>
    <row r="887" spans="3:17" ht="19.5" customHeight="1"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56"/>
      <c r="P887" s="56"/>
      <c r="Q887" s="56"/>
    </row>
    <row r="888" spans="3:17" ht="19.5" customHeight="1"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56"/>
      <c r="P888" s="56"/>
      <c r="Q888" s="56"/>
    </row>
    <row r="889" spans="3:17" ht="19.5" customHeight="1"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56"/>
      <c r="P889" s="56"/>
      <c r="Q889" s="56"/>
    </row>
    <row r="890" spans="3:17" ht="19.5" customHeight="1"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56"/>
      <c r="P890" s="56"/>
      <c r="Q890" s="56"/>
    </row>
    <row r="891" spans="3:17" ht="19.5" customHeight="1"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56"/>
      <c r="P891" s="56"/>
      <c r="Q891" s="56"/>
    </row>
    <row r="892" spans="3:17" ht="19.5" customHeight="1"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56"/>
      <c r="P892" s="56"/>
      <c r="Q892" s="56"/>
    </row>
    <row r="893" spans="3:17" ht="19.5" customHeight="1"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56"/>
      <c r="P893" s="56"/>
      <c r="Q893" s="56"/>
    </row>
    <row r="894" spans="3:17" ht="19.5" customHeight="1"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56"/>
      <c r="P894" s="56"/>
      <c r="Q894" s="56"/>
    </row>
    <row r="895" spans="3:17" ht="19.5" customHeight="1"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56"/>
      <c r="P895" s="56"/>
      <c r="Q895" s="56"/>
    </row>
    <row r="896" spans="3:17" ht="19.5" customHeight="1"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56"/>
      <c r="P896" s="56"/>
      <c r="Q896" s="56"/>
    </row>
    <row r="897" spans="3:17" ht="19.5" customHeight="1"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56"/>
      <c r="P897" s="56"/>
      <c r="Q897" s="56"/>
    </row>
    <row r="898" spans="3:17" ht="19.5" customHeight="1"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56"/>
      <c r="P898" s="56"/>
      <c r="Q898" s="56"/>
    </row>
    <row r="899" spans="3:17" ht="19.5" customHeight="1"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56"/>
      <c r="P899" s="56"/>
      <c r="Q899" s="56"/>
    </row>
    <row r="900" spans="3:17" ht="19.5" customHeight="1"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56"/>
      <c r="P900" s="56"/>
      <c r="Q900" s="56"/>
    </row>
    <row r="901" spans="3:17" ht="19.5" customHeight="1"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56"/>
      <c r="P901" s="56"/>
      <c r="Q901" s="56"/>
    </row>
    <row r="902" spans="3:17" ht="19.5" customHeight="1"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56"/>
      <c r="P902" s="56"/>
      <c r="Q902" s="56"/>
    </row>
    <row r="903" spans="3:17" ht="19.5" customHeight="1"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56"/>
      <c r="P903" s="56"/>
      <c r="Q903" s="56"/>
    </row>
    <row r="904" spans="3:17" ht="19.5" customHeight="1"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56"/>
      <c r="P904" s="56"/>
      <c r="Q904" s="56"/>
    </row>
    <row r="905" spans="3:17" ht="19.5" customHeight="1"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56"/>
      <c r="P905" s="56"/>
      <c r="Q905" s="56"/>
    </row>
    <row r="906" spans="3:17" ht="19.5" customHeight="1"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56"/>
      <c r="P906" s="56"/>
      <c r="Q906" s="56"/>
    </row>
    <row r="907" spans="3:17" ht="19.5" customHeight="1"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56"/>
      <c r="P907" s="56"/>
      <c r="Q907" s="56"/>
    </row>
    <row r="908" spans="3:17" ht="19.5" customHeight="1"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56"/>
      <c r="P908" s="56"/>
      <c r="Q908" s="56"/>
    </row>
    <row r="909" spans="3:17" ht="19.5" customHeight="1"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56"/>
      <c r="P909" s="56"/>
      <c r="Q909" s="56"/>
    </row>
    <row r="910" spans="3:17" ht="19.5" customHeight="1"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56"/>
      <c r="P910" s="56"/>
      <c r="Q910" s="56"/>
    </row>
    <row r="911" spans="3:17" ht="19.5" customHeight="1"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56"/>
      <c r="P911" s="56"/>
      <c r="Q911" s="56"/>
    </row>
    <row r="912" spans="3:17" ht="19.5" customHeight="1"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56"/>
      <c r="P912" s="56"/>
      <c r="Q912" s="56"/>
    </row>
    <row r="913" spans="3:17" ht="19.5" customHeight="1"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56"/>
      <c r="P913" s="56"/>
      <c r="Q913" s="56"/>
    </row>
    <row r="914" spans="3:17" ht="19.5" customHeight="1"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56"/>
      <c r="P914" s="56"/>
      <c r="Q914" s="56"/>
    </row>
    <row r="915" spans="3:17" ht="19.5" customHeight="1"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56"/>
      <c r="P915" s="56"/>
      <c r="Q915" s="56"/>
    </row>
    <row r="916" spans="3:17" ht="19.5" customHeight="1"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56"/>
      <c r="P916" s="56"/>
      <c r="Q916" s="56"/>
    </row>
    <row r="917" spans="3:17" ht="19.5" customHeight="1"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56"/>
      <c r="P917" s="56"/>
      <c r="Q917" s="56"/>
    </row>
    <row r="918" spans="3:17" ht="19.5" customHeight="1"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56"/>
      <c r="P918" s="56"/>
      <c r="Q918" s="56"/>
    </row>
    <row r="919" spans="3:17" ht="19.5" customHeight="1"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56"/>
      <c r="P919" s="56"/>
      <c r="Q919" s="56"/>
    </row>
    <row r="920" spans="3:17" ht="19.5" customHeight="1"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56"/>
      <c r="P920" s="56"/>
      <c r="Q920" s="56"/>
    </row>
    <row r="921" spans="3:17" ht="19.5" customHeight="1"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56"/>
      <c r="P921" s="56"/>
      <c r="Q921" s="56"/>
    </row>
    <row r="922" spans="3:17" ht="19.5" customHeight="1"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56"/>
      <c r="P922" s="56"/>
      <c r="Q922" s="56"/>
    </row>
    <row r="923" spans="3:17" ht="19.5" customHeight="1"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56"/>
      <c r="P923" s="56"/>
      <c r="Q923" s="56"/>
    </row>
    <row r="924" spans="3:17" ht="19.5" customHeight="1"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56"/>
      <c r="P924" s="56"/>
      <c r="Q924" s="56"/>
    </row>
    <row r="925" spans="3:17" ht="19.5" customHeight="1"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56"/>
      <c r="P925" s="56"/>
      <c r="Q925" s="56"/>
    </row>
    <row r="926" spans="3:17" ht="19.5" customHeight="1"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56"/>
      <c r="P926" s="56"/>
      <c r="Q926" s="56"/>
    </row>
    <row r="927" spans="3:17" ht="19.5" customHeight="1"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56"/>
      <c r="P927" s="56"/>
      <c r="Q927" s="56"/>
    </row>
    <row r="928" spans="3:17" ht="19.5" customHeight="1"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56"/>
      <c r="P928" s="56"/>
      <c r="Q928" s="56"/>
    </row>
    <row r="929" spans="3:17" ht="19.5" customHeight="1"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56"/>
      <c r="P929" s="56"/>
      <c r="Q929" s="56"/>
    </row>
    <row r="930" spans="3:17" ht="19.5" customHeight="1"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56"/>
      <c r="P930" s="56"/>
      <c r="Q930" s="56"/>
    </row>
    <row r="931" spans="3:17" ht="19.5" customHeight="1"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56"/>
      <c r="P931" s="56"/>
      <c r="Q931" s="56"/>
    </row>
    <row r="932" spans="3:17" ht="19.5" customHeight="1"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56"/>
      <c r="P932" s="56"/>
      <c r="Q932" s="56"/>
    </row>
    <row r="933" spans="3:17" ht="19.5" customHeight="1"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56"/>
      <c r="P933" s="56"/>
      <c r="Q933" s="56"/>
    </row>
    <row r="934" spans="3:17" ht="19.5" customHeight="1"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56"/>
      <c r="P934" s="56"/>
      <c r="Q934" s="56"/>
    </row>
    <row r="935" spans="3:17" ht="19.5" customHeight="1"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56"/>
      <c r="P935" s="56"/>
      <c r="Q935" s="56"/>
    </row>
    <row r="936" spans="3:17" ht="19.5" customHeight="1"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56"/>
      <c r="P936" s="56"/>
      <c r="Q936" s="56"/>
    </row>
    <row r="937" spans="3:17" ht="19.5" customHeight="1"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56"/>
      <c r="P937" s="56"/>
      <c r="Q937" s="56"/>
    </row>
    <row r="938" spans="3:17" ht="19.5" customHeight="1"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56"/>
      <c r="P938" s="56"/>
      <c r="Q938" s="56"/>
    </row>
    <row r="939" spans="3:17" ht="19.5" customHeight="1"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56"/>
      <c r="P939" s="56"/>
      <c r="Q939" s="56"/>
    </row>
    <row r="940" spans="3:17" ht="19.5" customHeight="1"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56"/>
      <c r="P940" s="56"/>
      <c r="Q940" s="56"/>
    </row>
    <row r="941" spans="3:17" ht="19.5" customHeight="1"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56"/>
      <c r="P941" s="56"/>
      <c r="Q941" s="56"/>
    </row>
    <row r="942" spans="3:17" ht="19.5" customHeight="1"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56"/>
      <c r="P942" s="56"/>
      <c r="Q942" s="56"/>
    </row>
    <row r="943" spans="3:17" ht="19.5" customHeight="1"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56"/>
      <c r="P943" s="56"/>
      <c r="Q943" s="56"/>
    </row>
    <row r="944" spans="3:17" ht="19.5" customHeight="1"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56"/>
      <c r="P944" s="56"/>
      <c r="Q944" s="56"/>
    </row>
    <row r="945" spans="3:17" ht="19.5" customHeight="1"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56"/>
      <c r="P945" s="56"/>
      <c r="Q945" s="56"/>
    </row>
    <row r="946" spans="3:17" ht="19.5" customHeight="1"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56"/>
      <c r="P946" s="56"/>
      <c r="Q946" s="56"/>
    </row>
    <row r="947" spans="3:17" ht="19.5" customHeight="1"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56"/>
      <c r="P947" s="56"/>
      <c r="Q947" s="56"/>
    </row>
    <row r="948" spans="3:17" ht="19.5" customHeight="1"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56"/>
      <c r="P948" s="56"/>
      <c r="Q948" s="56"/>
    </row>
    <row r="949" spans="3:17" ht="19.5" customHeight="1"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56"/>
      <c r="P949" s="56"/>
      <c r="Q949" s="56"/>
    </row>
    <row r="950" spans="3:17" ht="19.5" customHeight="1"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56"/>
      <c r="P950" s="56"/>
      <c r="Q950" s="56"/>
    </row>
    <row r="951" spans="3:17" ht="19.5" customHeight="1"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56"/>
      <c r="P951" s="56"/>
      <c r="Q951" s="56"/>
    </row>
    <row r="952" spans="3:17" ht="19.5" customHeight="1"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56"/>
      <c r="P952" s="56"/>
      <c r="Q952" s="56"/>
    </row>
    <row r="953" spans="3:17" ht="19.5" customHeight="1"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56"/>
      <c r="P953" s="56"/>
      <c r="Q953" s="56"/>
    </row>
    <row r="954" spans="3:17" ht="19.5" customHeight="1"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56"/>
      <c r="P954" s="56"/>
      <c r="Q954" s="56"/>
    </row>
    <row r="955" spans="3:17" ht="19.5" customHeight="1"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56"/>
      <c r="P955" s="56"/>
      <c r="Q955" s="56"/>
    </row>
    <row r="956" spans="3:17" ht="19.5" customHeight="1"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56"/>
      <c r="P956" s="56"/>
      <c r="Q956" s="56"/>
    </row>
    <row r="957" spans="3:17" ht="19.5" customHeight="1"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56"/>
      <c r="P957" s="56"/>
      <c r="Q957" s="56"/>
    </row>
  </sheetData>
  <conditionalFormatting sqref="N2:N74">
    <cfRule type="containsText" dxfId="11" priority="1" operator="containsText" text="Paid">
      <formula>NOT(ISERROR(SEARCH("Paid",N2)))</formula>
    </cfRule>
    <cfRule type="containsText" dxfId="10" priority="2" operator="containsText" text="Not owing">
      <formula>NOT(ISERROR(SEARCH("Not owing",N2)))</formula>
    </cfRule>
    <cfRule type="containsText" dxfId="9" priority="3" operator="containsText" text="Issues">
      <formula>NOT(ISERROR(SEARCH("Issues",N2)))</formula>
    </cfRule>
    <cfRule type="containsText" dxfId="8" priority="4" operator="containsText" text="Paid half">
      <formula>NOT(ISERROR(SEARCH("Paid half",N2)))</formula>
    </cfRule>
    <cfRule type="containsText" dxfId="7" priority="5" operator="containsText" text="Reached out to">
      <formula>NOT(ISERROR(SEARCH("Reached out to",N2)))</formula>
    </cfRule>
    <cfRule type="containsText" dxfId="6" priority="6" operator="containsText" text="Paid">
      <formula>NOT(ISERROR(SEARCH("Paid",N2)))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DropDown="1">
          <x14:formula1>
            <xm:f>'Attendance key'!$B$7:$B$16</xm:f>
          </x14:formula1>
          <xm:sqref>C2:F5 H2:M5 C8:F8 C67:F68 C70:F72 C73:G957 C69:G69 C9:G66 H8:M957 C6:M7</xm:sqref>
        </x14:dataValidation>
        <x14:dataValidation type="list" allowBlank="1" showInputMessage="1" showErrorMessage="1">
          <x14:formula1>
            <xm:f>'Attendance key'!$C$11:$C$15</xm:f>
          </x14:formula1>
          <xm:sqref>N2:N74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2"/>
  <sheetViews>
    <sheetView workbookViewId="0">
      <selection activeCell="A8" sqref="A8"/>
    </sheetView>
  </sheetViews>
  <sheetFormatPr defaultRowHeight="12.75"/>
  <cols>
    <col min="1" max="1" width="11.5703125" bestFit="1" customWidth="1"/>
    <col min="2" max="2" width="10" bestFit="1" customWidth="1"/>
    <col min="3" max="3" width="13.7109375" bestFit="1" customWidth="1"/>
    <col min="4" max="4" width="7.28515625" bestFit="1" customWidth="1"/>
    <col min="5" max="5" width="19.28515625" bestFit="1" customWidth="1"/>
    <col min="6" max="6" width="21.85546875" bestFit="1" customWidth="1"/>
    <col min="7" max="7" width="23.7109375" bestFit="1" customWidth="1"/>
    <col min="8" max="8" width="8.5703125" bestFit="1" customWidth="1"/>
  </cols>
  <sheetData>
    <row r="1" spans="1:8">
      <c r="A1" s="97" t="s">
        <v>23</v>
      </c>
      <c r="B1" s="97" t="s">
        <v>105</v>
      </c>
      <c r="C1" s="97" t="s">
        <v>17</v>
      </c>
      <c r="D1" s="97" t="s">
        <v>7</v>
      </c>
      <c r="E1" s="97" t="s">
        <v>35</v>
      </c>
      <c r="F1" s="97" t="s">
        <v>36</v>
      </c>
      <c r="G1" s="146" t="s">
        <v>111</v>
      </c>
      <c r="H1" s="146" t="s">
        <v>112</v>
      </c>
    </row>
    <row r="2" spans="1:8">
      <c r="A2" s="97" t="s">
        <v>76</v>
      </c>
      <c r="B2" s="97" t="s">
        <v>106</v>
      </c>
      <c r="C2" s="97" t="s">
        <v>13</v>
      </c>
      <c r="D2" s="97">
        <v>0</v>
      </c>
      <c r="E2" s="97">
        <v>0</v>
      </c>
      <c r="F2" s="97">
        <v>1000</v>
      </c>
      <c r="G2" s="97" t="s">
        <v>24</v>
      </c>
      <c r="H2" s="97" t="s">
        <v>4</v>
      </c>
    </row>
    <row r="3" spans="1:8">
      <c r="A3" s="97" t="s">
        <v>76</v>
      </c>
      <c r="B3" s="97" t="s">
        <v>106</v>
      </c>
      <c r="C3" s="97" t="s">
        <v>13</v>
      </c>
      <c r="D3" s="97">
        <v>0</v>
      </c>
      <c r="E3" s="97">
        <v>0</v>
      </c>
      <c r="F3" s="97">
        <v>1000</v>
      </c>
      <c r="G3" s="97" t="s">
        <v>25</v>
      </c>
      <c r="H3" s="97" t="s">
        <v>4</v>
      </c>
    </row>
    <row r="4" spans="1:8">
      <c r="A4" s="97" t="s">
        <v>76</v>
      </c>
      <c r="B4" s="97" t="s">
        <v>106</v>
      </c>
      <c r="C4" s="97" t="s">
        <v>13</v>
      </c>
      <c r="D4" s="97">
        <v>0</v>
      </c>
      <c r="E4" s="97">
        <v>0</v>
      </c>
      <c r="F4" s="97">
        <v>1000</v>
      </c>
      <c r="G4" s="97" t="s">
        <v>26</v>
      </c>
      <c r="H4" s="97" t="s">
        <v>10</v>
      </c>
    </row>
    <row r="5" spans="1:8">
      <c r="A5" s="97" t="s">
        <v>76</v>
      </c>
      <c r="B5" s="97" t="s">
        <v>106</v>
      </c>
      <c r="C5" s="97" t="s">
        <v>13</v>
      </c>
      <c r="D5" s="97">
        <v>0</v>
      </c>
      <c r="E5" s="97">
        <v>0</v>
      </c>
      <c r="F5" s="97">
        <v>1000</v>
      </c>
      <c r="G5" s="97" t="s">
        <v>27</v>
      </c>
      <c r="H5" s="97" t="s">
        <v>4</v>
      </c>
    </row>
    <row r="6" spans="1:8">
      <c r="A6" s="97" t="s">
        <v>76</v>
      </c>
      <c r="B6" s="97" t="s">
        <v>106</v>
      </c>
      <c r="C6" s="97" t="s">
        <v>13</v>
      </c>
      <c r="D6" s="97">
        <v>0</v>
      </c>
      <c r="E6" s="97">
        <v>0</v>
      </c>
      <c r="F6" s="97">
        <v>1000</v>
      </c>
      <c r="G6" s="97" t="s">
        <v>28</v>
      </c>
      <c r="H6" s="97" t="s">
        <v>4</v>
      </c>
    </row>
    <row r="7" spans="1:8">
      <c r="A7" s="97" t="s">
        <v>76</v>
      </c>
      <c r="B7" s="97" t="s">
        <v>106</v>
      </c>
      <c r="C7" s="97" t="s">
        <v>13</v>
      </c>
      <c r="D7" s="97">
        <v>0</v>
      </c>
      <c r="E7" s="97">
        <v>0</v>
      </c>
      <c r="F7" s="97">
        <v>1000</v>
      </c>
      <c r="G7" s="97" t="s">
        <v>29</v>
      </c>
      <c r="H7" s="97" t="s">
        <v>4</v>
      </c>
    </row>
    <row r="8" spans="1:8">
      <c r="A8" s="97" t="s">
        <v>76</v>
      </c>
      <c r="B8" s="97" t="s">
        <v>106</v>
      </c>
      <c r="C8" s="97" t="s">
        <v>13</v>
      </c>
      <c r="D8" s="97">
        <v>0</v>
      </c>
      <c r="E8" s="97">
        <v>0</v>
      </c>
      <c r="F8" s="97">
        <v>1000</v>
      </c>
      <c r="G8" s="97" t="s">
        <v>30</v>
      </c>
      <c r="H8" s="97" t="s">
        <v>4</v>
      </c>
    </row>
    <row r="9" spans="1:8">
      <c r="A9" s="97" t="s">
        <v>76</v>
      </c>
      <c r="B9" s="97" t="s">
        <v>106</v>
      </c>
      <c r="C9" s="97" t="s">
        <v>13</v>
      </c>
      <c r="D9" s="97">
        <v>0</v>
      </c>
      <c r="E9" s="97">
        <v>0</v>
      </c>
      <c r="F9" s="97">
        <v>1000</v>
      </c>
      <c r="G9" s="97" t="s">
        <v>31</v>
      </c>
      <c r="H9" s="97" t="s">
        <v>4</v>
      </c>
    </row>
    <row r="10" spans="1:8">
      <c r="A10" s="97" t="s">
        <v>76</v>
      </c>
      <c r="B10" s="97" t="s">
        <v>106</v>
      </c>
      <c r="C10" s="97" t="s">
        <v>13</v>
      </c>
      <c r="D10" s="97">
        <v>0</v>
      </c>
      <c r="E10" s="97">
        <v>0</v>
      </c>
      <c r="F10" s="97">
        <v>1000</v>
      </c>
      <c r="G10" s="97" t="s">
        <v>32</v>
      </c>
      <c r="H10" s="97" t="s">
        <v>4</v>
      </c>
    </row>
    <row r="11" spans="1:8">
      <c r="A11" s="97" t="s">
        <v>76</v>
      </c>
      <c r="B11" s="97" t="s">
        <v>106</v>
      </c>
      <c r="C11" s="97" t="s">
        <v>13</v>
      </c>
      <c r="D11" s="97">
        <v>0</v>
      </c>
      <c r="E11" s="97">
        <v>0</v>
      </c>
      <c r="F11" s="97">
        <v>1000</v>
      </c>
      <c r="G11" s="97" t="s">
        <v>33</v>
      </c>
      <c r="H11" s="97" t="s">
        <v>10</v>
      </c>
    </row>
    <row r="12" spans="1:8">
      <c r="A12" s="97" t="s">
        <v>76</v>
      </c>
      <c r="B12" s="97" t="s">
        <v>106</v>
      </c>
      <c r="C12" s="97" t="s">
        <v>13</v>
      </c>
      <c r="D12" s="97">
        <v>0</v>
      </c>
      <c r="E12" s="97">
        <v>0</v>
      </c>
      <c r="F12" s="97">
        <v>1000</v>
      </c>
      <c r="G12" s="97" t="s">
        <v>34</v>
      </c>
      <c r="H12" s="97" t="s">
        <v>4</v>
      </c>
    </row>
    <row r="13" spans="1:8">
      <c r="A13" s="97" t="s">
        <v>76</v>
      </c>
      <c r="B13" s="97" t="s">
        <v>106</v>
      </c>
      <c r="C13" s="97" t="s">
        <v>13</v>
      </c>
      <c r="D13" s="97">
        <v>0</v>
      </c>
      <c r="E13" s="97">
        <v>0</v>
      </c>
      <c r="F13" s="97">
        <v>1000</v>
      </c>
      <c r="G13" s="97" t="s">
        <v>129</v>
      </c>
      <c r="H13" s="97">
        <v>1000</v>
      </c>
    </row>
    <row r="14" spans="1:8">
      <c r="A14" s="97" t="s">
        <v>76</v>
      </c>
      <c r="B14" s="97" t="s">
        <v>106</v>
      </c>
      <c r="C14" s="97" t="s">
        <v>13</v>
      </c>
      <c r="D14" s="97">
        <v>0</v>
      </c>
      <c r="E14" s="97">
        <v>0</v>
      </c>
      <c r="F14" s="97">
        <v>1000</v>
      </c>
      <c r="G14" s="97" t="s">
        <v>132</v>
      </c>
      <c r="H14" s="97">
        <v>2</v>
      </c>
    </row>
    <row r="15" spans="1:8">
      <c r="A15" s="97" t="s">
        <v>76</v>
      </c>
      <c r="B15" s="97" t="s">
        <v>106</v>
      </c>
      <c r="C15" s="97" t="s">
        <v>13</v>
      </c>
      <c r="D15" s="97">
        <v>0</v>
      </c>
      <c r="E15" s="97">
        <v>0</v>
      </c>
      <c r="F15" s="97">
        <v>1000</v>
      </c>
      <c r="G15" s="97" t="s">
        <v>147</v>
      </c>
      <c r="H15" s="97" t="s">
        <v>149</v>
      </c>
    </row>
    <row r="16" spans="1:8">
      <c r="A16" s="97" t="s">
        <v>67</v>
      </c>
      <c r="B16" s="97" t="s">
        <v>106</v>
      </c>
      <c r="C16" s="97" t="s">
        <v>16</v>
      </c>
      <c r="D16" s="97">
        <v>0</v>
      </c>
      <c r="E16" s="97">
        <v>0</v>
      </c>
      <c r="F16" s="97">
        <v>0</v>
      </c>
      <c r="G16" s="97" t="s">
        <v>24</v>
      </c>
      <c r="H16" s="97" t="s">
        <v>4</v>
      </c>
    </row>
    <row r="17" spans="1:8">
      <c r="A17" s="97" t="s">
        <v>67</v>
      </c>
      <c r="B17" s="97" t="s">
        <v>106</v>
      </c>
      <c r="C17" s="97" t="s">
        <v>16</v>
      </c>
      <c r="D17" s="97">
        <v>0</v>
      </c>
      <c r="E17" s="97">
        <v>0</v>
      </c>
      <c r="F17" s="97">
        <v>0</v>
      </c>
      <c r="G17" s="97" t="s">
        <v>25</v>
      </c>
      <c r="H17" s="97" t="s">
        <v>4</v>
      </c>
    </row>
    <row r="18" spans="1:8">
      <c r="A18" s="97" t="s">
        <v>67</v>
      </c>
      <c r="B18" s="97" t="s">
        <v>106</v>
      </c>
      <c r="C18" s="97" t="s">
        <v>16</v>
      </c>
      <c r="D18" s="97">
        <v>0</v>
      </c>
      <c r="E18" s="97">
        <v>0</v>
      </c>
      <c r="F18" s="97">
        <v>0</v>
      </c>
      <c r="G18" s="97" t="s">
        <v>26</v>
      </c>
      <c r="H18" s="97" t="s">
        <v>4</v>
      </c>
    </row>
    <row r="19" spans="1:8">
      <c r="A19" s="97" t="s">
        <v>67</v>
      </c>
      <c r="B19" s="97" t="s">
        <v>106</v>
      </c>
      <c r="C19" s="97" t="s">
        <v>16</v>
      </c>
      <c r="D19" s="97">
        <v>0</v>
      </c>
      <c r="E19" s="97">
        <v>0</v>
      </c>
      <c r="F19" s="97">
        <v>0</v>
      </c>
      <c r="G19" s="97" t="s">
        <v>27</v>
      </c>
      <c r="H19" s="97" t="s">
        <v>4</v>
      </c>
    </row>
    <row r="20" spans="1:8">
      <c r="A20" s="97" t="s">
        <v>67</v>
      </c>
      <c r="B20" s="97" t="s">
        <v>106</v>
      </c>
      <c r="C20" s="97" t="s">
        <v>16</v>
      </c>
      <c r="D20" s="97">
        <v>0</v>
      </c>
      <c r="E20" s="97">
        <v>0</v>
      </c>
      <c r="F20" s="97">
        <v>0</v>
      </c>
      <c r="G20" s="97" t="s">
        <v>28</v>
      </c>
      <c r="H20" s="97" t="s">
        <v>4</v>
      </c>
    </row>
    <row r="21" spans="1:8">
      <c r="A21" s="97" t="s">
        <v>67</v>
      </c>
      <c r="B21" s="97" t="s">
        <v>106</v>
      </c>
      <c r="C21" s="97" t="s">
        <v>16</v>
      </c>
      <c r="D21" s="97">
        <v>0</v>
      </c>
      <c r="E21" s="97">
        <v>0</v>
      </c>
      <c r="F21" s="97">
        <v>0</v>
      </c>
      <c r="G21" s="97" t="s">
        <v>29</v>
      </c>
      <c r="H21" s="97" t="s">
        <v>4</v>
      </c>
    </row>
    <row r="22" spans="1:8">
      <c r="A22" s="97" t="s">
        <v>67</v>
      </c>
      <c r="B22" s="97" t="s">
        <v>106</v>
      </c>
      <c r="C22" s="97" t="s">
        <v>16</v>
      </c>
      <c r="D22" s="97">
        <v>0</v>
      </c>
      <c r="E22" s="97">
        <v>0</v>
      </c>
      <c r="F22" s="97">
        <v>0</v>
      </c>
      <c r="G22" s="97" t="s">
        <v>30</v>
      </c>
      <c r="H22" s="97" t="s">
        <v>4</v>
      </c>
    </row>
    <row r="23" spans="1:8">
      <c r="A23" s="97" t="s">
        <v>67</v>
      </c>
      <c r="B23" s="97" t="s">
        <v>106</v>
      </c>
      <c r="C23" s="97" t="s">
        <v>16</v>
      </c>
      <c r="D23" s="97">
        <v>0</v>
      </c>
      <c r="E23" s="97">
        <v>0</v>
      </c>
      <c r="F23" s="97">
        <v>0</v>
      </c>
      <c r="G23" s="97" t="s">
        <v>31</v>
      </c>
      <c r="H23" s="97" t="s">
        <v>4</v>
      </c>
    </row>
    <row r="24" spans="1:8">
      <c r="A24" s="97" t="s">
        <v>67</v>
      </c>
      <c r="B24" s="97" t="s">
        <v>106</v>
      </c>
      <c r="C24" s="97" t="s">
        <v>16</v>
      </c>
      <c r="D24" s="97">
        <v>0</v>
      </c>
      <c r="E24" s="97">
        <v>0</v>
      </c>
      <c r="F24" s="97">
        <v>0</v>
      </c>
      <c r="G24" s="97" t="s">
        <v>32</v>
      </c>
      <c r="H24" s="97" t="s">
        <v>8</v>
      </c>
    </row>
    <row r="25" spans="1:8">
      <c r="A25" s="97" t="s">
        <v>67</v>
      </c>
      <c r="B25" s="97" t="s">
        <v>106</v>
      </c>
      <c r="C25" s="97" t="s">
        <v>16</v>
      </c>
      <c r="D25" s="97">
        <v>0</v>
      </c>
      <c r="E25" s="97">
        <v>0</v>
      </c>
      <c r="F25" s="97">
        <v>0</v>
      </c>
      <c r="G25" s="97" t="s">
        <v>33</v>
      </c>
      <c r="H25" s="97" t="s">
        <v>4</v>
      </c>
    </row>
    <row r="26" spans="1:8">
      <c r="A26" s="97" t="s">
        <v>67</v>
      </c>
      <c r="B26" s="97" t="s">
        <v>106</v>
      </c>
      <c r="C26" s="97" t="s">
        <v>16</v>
      </c>
      <c r="D26" s="97">
        <v>0</v>
      </c>
      <c r="E26" s="97">
        <v>0</v>
      </c>
      <c r="F26" s="97">
        <v>0</v>
      </c>
      <c r="G26" s="97" t="s">
        <v>34</v>
      </c>
      <c r="H26" s="97" t="s">
        <v>4</v>
      </c>
    </row>
    <row r="27" spans="1:8">
      <c r="A27" s="97" t="s">
        <v>67</v>
      </c>
      <c r="B27" s="97" t="s">
        <v>106</v>
      </c>
      <c r="C27" s="97" t="s">
        <v>16</v>
      </c>
      <c r="D27" s="97">
        <v>0</v>
      </c>
      <c r="E27" s="97">
        <v>0</v>
      </c>
      <c r="F27" s="97">
        <v>0</v>
      </c>
      <c r="G27" s="97" t="s">
        <v>129</v>
      </c>
      <c r="H27" s="97">
        <v>0</v>
      </c>
    </row>
    <row r="28" spans="1:8">
      <c r="A28" s="97" t="s">
        <v>67</v>
      </c>
      <c r="B28" s="97" t="s">
        <v>106</v>
      </c>
      <c r="C28" s="97" t="s">
        <v>16</v>
      </c>
      <c r="D28" s="97">
        <v>0</v>
      </c>
      <c r="E28" s="97">
        <v>0</v>
      </c>
      <c r="F28" s="97">
        <v>0</v>
      </c>
      <c r="G28" s="97" t="s">
        <v>132</v>
      </c>
      <c r="H28" s="97">
        <v>0</v>
      </c>
    </row>
    <row r="29" spans="1:8">
      <c r="A29" s="97" t="s">
        <v>67</v>
      </c>
      <c r="B29" s="97" t="s">
        <v>106</v>
      </c>
      <c r="C29" s="97" t="s">
        <v>16</v>
      </c>
      <c r="D29" s="97">
        <v>0</v>
      </c>
      <c r="E29" s="97">
        <v>0</v>
      </c>
      <c r="F29" s="97">
        <v>0</v>
      </c>
      <c r="G29" s="97" t="s">
        <v>147</v>
      </c>
      <c r="H29" s="97" t="s">
        <v>148</v>
      </c>
    </row>
    <row r="30" spans="1:8">
      <c r="A30" s="97" t="s">
        <v>40</v>
      </c>
      <c r="B30" s="97" t="s">
        <v>107</v>
      </c>
      <c r="C30" s="97" t="s">
        <v>12</v>
      </c>
      <c r="D30" s="97">
        <v>0</v>
      </c>
      <c r="E30" s="97">
        <v>0</v>
      </c>
      <c r="F30" s="97">
        <v>1000</v>
      </c>
      <c r="G30" s="97" t="s">
        <v>24</v>
      </c>
      <c r="H30" s="97" t="s">
        <v>4</v>
      </c>
    </row>
    <row r="31" spans="1:8">
      <c r="A31" s="97" t="s">
        <v>40</v>
      </c>
      <c r="B31" s="97" t="s">
        <v>107</v>
      </c>
      <c r="C31" s="97" t="s">
        <v>12</v>
      </c>
      <c r="D31" s="97">
        <v>0</v>
      </c>
      <c r="E31" s="97">
        <v>0</v>
      </c>
      <c r="F31" s="97">
        <v>1000</v>
      </c>
      <c r="G31" s="97" t="s">
        <v>25</v>
      </c>
      <c r="H31" s="97" t="s">
        <v>4</v>
      </c>
    </row>
    <row r="32" spans="1:8">
      <c r="A32" s="97" t="s">
        <v>40</v>
      </c>
      <c r="B32" s="97" t="s">
        <v>107</v>
      </c>
      <c r="C32" s="97" t="s">
        <v>12</v>
      </c>
      <c r="D32" s="97">
        <v>0</v>
      </c>
      <c r="E32" s="97">
        <v>0</v>
      </c>
      <c r="F32" s="97">
        <v>1000</v>
      </c>
      <c r="G32" s="97" t="s">
        <v>26</v>
      </c>
      <c r="H32" s="97" t="s">
        <v>4</v>
      </c>
    </row>
    <row r="33" spans="1:8">
      <c r="A33" s="97" t="s">
        <v>40</v>
      </c>
      <c r="B33" s="97" t="s">
        <v>107</v>
      </c>
      <c r="C33" s="97" t="s">
        <v>12</v>
      </c>
      <c r="D33" s="97">
        <v>0</v>
      </c>
      <c r="E33" s="97">
        <v>0</v>
      </c>
      <c r="F33" s="97">
        <v>1000</v>
      </c>
      <c r="G33" s="97" t="s">
        <v>27</v>
      </c>
      <c r="H33" s="97" t="s">
        <v>4</v>
      </c>
    </row>
    <row r="34" spans="1:8">
      <c r="A34" s="97" t="s">
        <v>40</v>
      </c>
      <c r="B34" s="97" t="s">
        <v>107</v>
      </c>
      <c r="C34" s="97" t="s">
        <v>12</v>
      </c>
      <c r="D34" s="97">
        <v>0</v>
      </c>
      <c r="E34" s="97">
        <v>0</v>
      </c>
      <c r="F34" s="97">
        <v>1000</v>
      </c>
      <c r="G34" s="97" t="s">
        <v>28</v>
      </c>
      <c r="H34" s="97" t="s">
        <v>4</v>
      </c>
    </row>
    <row r="35" spans="1:8">
      <c r="A35" s="97" t="s">
        <v>40</v>
      </c>
      <c r="B35" s="97" t="s">
        <v>107</v>
      </c>
      <c r="C35" s="97" t="s">
        <v>12</v>
      </c>
      <c r="D35" s="97">
        <v>0</v>
      </c>
      <c r="E35" s="97">
        <v>0</v>
      </c>
      <c r="F35" s="97">
        <v>1000</v>
      </c>
      <c r="G35" s="97" t="s">
        <v>29</v>
      </c>
      <c r="H35" s="97" t="s">
        <v>4</v>
      </c>
    </row>
    <row r="36" spans="1:8">
      <c r="A36" s="97" t="s">
        <v>40</v>
      </c>
      <c r="B36" s="97" t="s">
        <v>107</v>
      </c>
      <c r="C36" s="97" t="s">
        <v>12</v>
      </c>
      <c r="D36" s="97">
        <v>0</v>
      </c>
      <c r="E36" s="97">
        <v>0</v>
      </c>
      <c r="F36" s="97">
        <v>1000</v>
      </c>
      <c r="G36" s="97" t="s">
        <v>30</v>
      </c>
      <c r="H36" s="97" t="s">
        <v>4</v>
      </c>
    </row>
    <row r="37" spans="1:8">
      <c r="A37" s="97" t="s">
        <v>40</v>
      </c>
      <c r="B37" s="97" t="s">
        <v>107</v>
      </c>
      <c r="C37" s="97" t="s">
        <v>12</v>
      </c>
      <c r="D37" s="97">
        <v>0</v>
      </c>
      <c r="E37" s="97">
        <v>0</v>
      </c>
      <c r="F37" s="97">
        <v>1000</v>
      </c>
      <c r="G37" s="97" t="s">
        <v>31</v>
      </c>
      <c r="H37" s="97" t="s">
        <v>4</v>
      </c>
    </row>
    <row r="38" spans="1:8">
      <c r="A38" s="97" t="s">
        <v>40</v>
      </c>
      <c r="B38" s="97" t="s">
        <v>107</v>
      </c>
      <c r="C38" s="97" t="s">
        <v>12</v>
      </c>
      <c r="D38" s="97">
        <v>0</v>
      </c>
      <c r="E38" s="97">
        <v>0</v>
      </c>
      <c r="F38" s="97">
        <v>1000</v>
      </c>
      <c r="G38" s="97" t="s">
        <v>32</v>
      </c>
      <c r="H38" s="97" t="s">
        <v>10</v>
      </c>
    </row>
    <row r="39" spans="1:8">
      <c r="A39" s="97" t="s">
        <v>40</v>
      </c>
      <c r="B39" s="97" t="s">
        <v>107</v>
      </c>
      <c r="C39" s="97" t="s">
        <v>12</v>
      </c>
      <c r="D39" s="97">
        <v>0</v>
      </c>
      <c r="E39" s="97">
        <v>0</v>
      </c>
      <c r="F39" s="97">
        <v>1000</v>
      </c>
      <c r="G39" s="97" t="s">
        <v>33</v>
      </c>
      <c r="H39" s="97" t="s">
        <v>10</v>
      </c>
    </row>
    <row r="40" spans="1:8">
      <c r="A40" s="97" t="s">
        <v>40</v>
      </c>
      <c r="B40" s="97" t="s">
        <v>107</v>
      </c>
      <c r="C40" s="97" t="s">
        <v>12</v>
      </c>
      <c r="D40" s="97">
        <v>0</v>
      </c>
      <c r="E40" s="97">
        <v>0</v>
      </c>
      <c r="F40" s="97">
        <v>1000</v>
      </c>
      <c r="G40" s="97" t="s">
        <v>34</v>
      </c>
      <c r="H40" s="97" t="s">
        <v>8</v>
      </c>
    </row>
    <row r="41" spans="1:8">
      <c r="A41" s="97" t="s">
        <v>40</v>
      </c>
      <c r="B41" s="97" t="s">
        <v>107</v>
      </c>
      <c r="C41" s="97" t="s">
        <v>12</v>
      </c>
      <c r="D41" s="97">
        <v>0</v>
      </c>
      <c r="E41" s="97">
        <v>0</v>
      </c>
      <c r="F41" s="97">
        <v>1000</v>
      </c>
      <c r="G41" s="97" t="s">
        <v>129</v>
      </c>
      <c r="H41" s="97">
        <v>1000</v>
      </c>
    </row>
    <row r="42" spans="1:8">
      <c r="A42" s="97" t="s">
        <v>40</v>
      </c>
      <c r="B42" s="97" t="s">
        <v>107</v>
      </c>
      <c r="C42" s="97" t="s">
        <v>12</v>
      </c>
      <c r="D42" s="97">
        <v>0</v>
      </c>
      <c r="E42" s="97">
        <v>0</v>
      </c>
      <c r="F42" s="97">
        <v>1000</v>
      </c>
      <c r="G42" s="97" t="s">
        <v>132</v>
      </c>
      <c r="H42" s="97">
        <v>2</v>
      </c>
    </row>
    <row r="43" spans="1:8">
      <c r="A43" s="97" t="s">
        <v>40</v>
      </c>
      <c r="B43" s="97" t="s">
        <v>107</v>
      </c>
      <c r="C43" s="97" t="s">
        <v>12</v>
      </c>
      <c r="D43" s="97">
        <v>0</v>
      </c>
      <c r="E43" s="97">
        <v>0</v>
      </c>
      <c r="F43" s="97">
        <v>1000</v>
      </c>
      <c r="G43" s="97" t="s">
        <v>147</v>
      </c>
      <c r="H43" s="97" t="s">
        <v>149</v>
      </c>
    </row>
    <row r="44" spans="1:8">
      <c r="A44" s="97" t="s">
        <v>52</v>
      </c>
      <c r="B44" s="97" t="s">
        <v>107</v>
      </c>
      <c r="C44" s="97" t="s">
        <v>12</v>
      </c>
      <c r="D44" s="97">
        <v>300</v>
      </c>
      <c r="E44" s="97">
        <v>0</v>
      </c>
      <c r="F44" s="97">
        <v>2000</v>
      </c>
      <c r="G44" s="97" t="s">
        <v>24</v>
      </c>
      <c r="H44" s="97" t="s">
        <v>10</v>
      </c>
    </row>
    <row r="45" spans="1:8">
      <c r="A45" s="97" t="s">
        <v>52</v>
      </c>
      <c r="B45" s="97" t="s">
        <v>107</v>
      </c>
      <c r="C45" s="97" t="s">
        <v>12</v>
      </c>
      <c r="D45" s="97">
        <v>300</v>
      </c>
      <c r="E45" s="97">
        <v>0</v>
      </c>
      <c r="F45" s="97">
        <v>2000</v>
      </c>
      <c r="G45" s="97" t="s">
        <v>25</v>
      </c>
      <c r="H45" s="97" t="s">
        <v>8</v>
      </c>
    </row>
    <row r="46" spans="1:8">
      <c r="A46" s="97" t="s">
        <v>52</v>
      </c>
      <c r="B46" s="97" t="s">
        <v>107</v>
      </c>
      <c r="C46" s="97" t="s">
        <v>12</v>
      </c>
      <c r="D46" s="97">
        <v>300</v>
      </c>
      <c r="E46" s="97">
        <v>0</v>
      </c>
      <c r="F46" s="97">
        <v>2000</v>
      </c>
      <c r="G46" s="97" t="s">
        <v>26</v>
      </c>
      <c r="H46" s="97" t="s">
        <v>10</v>
      </c>
    </row>
    <row r="47" spans="1:8">
      <c r="A47" s="97" t="s">
        <v>52</v>
      </c>
      <c r="B47" s="97" t="s">
        <v>107</v>
      </c>
      <c r="C47" s="97" t="s">
        <v>12</v>
      </c>
      <c r="D47" s="97">
        <v>300</v>
      </c>
      <c r="E47" s="97">
        <v>0</v>
      </c>
      <c r="F47" s="97">
        <v>2000</v>
      </c>
      <c r="G47" s="97" t="s">
        <v>27</v>
      </c>
      <c r="H47" s="97" t="s">
        <v>10</v>
      </c>
    </row>
    <row r="48" spans="1:8">
      <c r="A48" s="97" t="s">
        <v>52</v>
      </c>
      <c r="B48" s="97" t="s">
        <v>107</v>
      </c>
      <c r="C48" s="97" t="s">
        <v>12</v>
      </c>
      <c r="D48" s="97">
        <v>300</v>
      </c>
      <c r="E48" s="97">
        <v>0</v>
      </c>
      <c r="F48" s="97">
        <v>2000</v>
      </c>
      <c r="G48" s="97" t="s">
        <v>28</v>
      </c>
      <c r="H48" s="97" t="s">
        <v>4</v>
      </c>
    </row>
    <row r="49" spans="1:8">
      <c r="A49" s="97" t="s">
        <v>52</v>
      </c>
      <c r="B49" s="97" t="s">
        <v>107</v>
      </c>
      <c r="C49" s="97" t="s">
        <v>12</v>
      </c>
      <c r="D49" s="97">
        <v>300</v>
      </c>
      <c r="E49" s="97">
        <v>0</v>
      </c>
      <c r="F49" s="97">
        <v>2000</v>
      </c>
      <c r="G49" s="97" t="s">
        <v>29</v>
      </c>
      <c r="H49" s="97" t="s">
        <v>4</v>
      </c>
    </row>
    <row r="50" spans="1:8">
      <c r="A50" s="97" t="s">
        <v>52</v>
      </c>
      <c r="B50" s="97" t="s">
        <v>107</v>
      </c>
      <c r="C50" s="97" t="s">
        <v>12</v>
      </c>
      <c r="D50" s="97">
        <v>300</v>
      </c>
      <c r="E50" s="97">
        <v>0</v>
      </c>
      <c r="F50" s="97">
        <v>2000</v>
      </c>
      <c r="G50" s="97" t="s">
        <v>30</v>
      </c>
      <c r="H50" s="97" t="s">
        <v>4</v>
      </c>
    </row>
    <row r="51" spans="1:8">
      <c r="A51" s="97" t="s">
        <v>52</v>
      </c>
      <c r="B51" s="97" t="s">
        <v>107</v>
      </c>
      <c r="C51" s="97" t="s">
        <v>12</v>
      </c>
      <c r="D51" s="97">
        <v>300</v>
      </c>
      <c r="E51" s="97">
        <v>0</v>
      </c>
      <c r="F51" s="97">
        <v>2000</v>
      </c>
      <c r="G51" s="97" t="s">
        <v>31</v>
      </c>
      <c r="H51" s="97" t="s">
        <v>4</v>
      </c>
    </row>
    <row r="52" spans="1:8">
      <c r="A52" s="97" t="s">
        <v>52</v>
      </c>
      <c r="B52" s="97" t="s">
        <v>107</v>
      </c>
      <c r="C52" s="97" t="s">
        <v>12</v>
      </c>
      <c r="D52" s="97">
        <v>300</v>
      </c>
      <c r="E52" s="97">
        <v>0</v>
      </c>
      <c r="F52" s="97">
        <v>2000</v>
      </c>
      <c r="G52" s="97" t="s">
        <v>32</v>
      </c>
      <c r="H52" s="97" t="s">
        <v>4</v>
      </c>
    </row>
    <row r="53" spans="1:8">
      <c r="A53" s="97" t="s">
        <v>52</v>
      </c>
      <c r="B53" s="97" t="s">
        <v>107</v>
      </c>
      <c r="C53" s="97" t="s">
        <v>12</v>
      </c>
      <c r="D53" s="97">
        <v>300</v>
      </c>
      <c r="E53" s="97">
        <v>0</v>
      </c>
      <c r="F53" s="97">
        <v>2000</v>
      </c>
      <c r="G53" s="97" t="s">
        <v>33</v>
      </c>
      <c r="H53" s="97" t="s">
        <v>6</v>
      </c>
    </row>
    <row r="54" spans="1:8">
      <c r="A54" s="97" t="s">
        <v>52</v>
      </c>
      <c r="B54" s="97" t="s">
        <v>107</v>
      </c>
      <c r="C54" s="97" t="s">
        <v>12</v>
      </c>
      <c r="D54" s="97">
        <v>300</v>
      </c>
      <c r="E54" s="97">
        <v>0</v>
      </c>
      <c r="F54" s="97">
        <v>2000</v>
      </c>
      <c r="G54" s="97" t="s">
        <v>34</v>
      </c>
      <c r="H54" s="97" t="s">
        <v>10</v>
      </c>
    </row>
    <row r="55" spans="1:8">
      <c r="A55" s="97" t="s">
        <v>52</v>
      </c>
      <c r="B55" s="97" t="s">
        <v>107</v>
      </c>
      <c r="C55" s="97" t="s">
        <v>12</v>
      </c>
      <c r="D55" s="97">
        <v>300</v>
      </c>
      <c r="E55" s="97">
        <v>0</v>
      </c>
      <c r="F55" s="97">
        <v>2000</v>
      </c>
      <c r="G55" s="97" t="s">
        <v>129</v>
      </c>
      <c r="H55" s="97">
        <v>2300</v>
      </c>
    </row>
    <row r="56" spans="1:8">
      <c r="A56" s="97" t="s">
        <v>52</v>
      </c>
      <c r="B56" s="97" t="s">
        <v>107</v>
      </c>
      <c r="C56" s="97" t="s">
        <v>12</v>
      </c>
      <c r="D56" s="97">
        <v>300</v>
      </c>
      <c r="E56" s="97">
        <v>0</v>
      </c>
      <c r="F56" s="97">
        <v>2000</v>
      </c>
      <c r="G56" s="97" t="s">
        <v>132</v>
      </c>
      <c r="H56" s="97">
        <v>4</v>
      </c>
    </row>
    <row r="57" spans="1:8">
      <c r="A57" s="97" t="s">
        <v>52</v>
      </c>
      <c r="B57" s="97" t="s">
        <v>107</v>
      </c>
      <c r="C57" s="97" t="s">
        <v>12</v>
      </c>
      <c r="D57" s="97">
        <v>300</v>
      </c>
      <c r="E57" s="97">
        <v>0</v>
      </c>
      <c r="F57" s="97">
        <v>2000</v>
      </c>
      <c r="G57" s="97" t="s">
        <v>147</v>
      </c>
      <c r="H57" s="97" t="s">
        <v>149</v>
      </c>
    </row>
    <row r="58" spans="1:8">
      <c r="A58" s="97" t="s">
        <v>114</v>
      </c>
      <c r="B58" s="97" t="s">
        <v>107</v>
      </c>
      <c r="C58" s="97" t="s">
        <v>12</v>
      </c>
      <c r="D58" s="97">
        <v>0</v>
      </c>
      <c r="E58" s="97">
        <v>0</v>
      </c>
      <c r="F58" s="97">
        <v>3000</v>
      </c>
      <c r="G58" s="97" t="s">
        <v>24</v>
      </c>
      <c r="H58" s="97" t="s">
        <v>10</v>
      </c>
    </row>
    <row r="59" spans="1:8">
      <c r="A59" s="97" t="s">
        <v>114</v>
      </c>
      <c r="B59" s="97" t="s">
        <v>107</v>
      </c>
      <c r="C59" s="97" t="s">
        <v>12</v>
      </c>
      <c r="D59" s="97">
        <v>0</v>
      </c>
      <c r="E59" s="97">
        <v>0</v>
      </c>
      <c r="F59" s="97">
        <v>3000</v>
      </c>
      <c r="G59" s="97" t="s">
        <v>25</v>
      </c>
      <c r="H59" s="97" t="s">
        <v>10</v>
      </c>
    </row>
    <row r="60" spans="1:8">
      <c r="A60" s="97" t="s">
        <v>114</v>
      </c>
      <c r="B60" s="97" t="s">
        <v>107</v>
      </c>
      <c r="C60" s="97" t="s">
        <v>12</v>
      </c>
      <c r="D60" s="97">
        <v>0</v>
      </c>
      <c r="E60" s="97">
        <v>0</v>
      </c>
      <c r="F60" s="97">
        <v>3000</v>
      </c>
      <c r="G60" s="97" t="s">
        <v>26</v>
      </c>
      <c r="H60" s="97" t="s">
        <v>4</v>
      </c>
    </row>
    <row r="61" spans="1:8">
      <c r="A61" s="97" t="s">
        <v>114</v>
      </c>
      <c r="B61" s="97" t="s">
        <v>107</v>
      </c>
      <c r="C61" s="97" t="s">
        <v>12</v>
      </c>
      <c r="D61" s="97">
        <v>0</v>
      </c>
      <c r="E61" s="97">
        <v>0</v>
      </c>
      <c r="F61" s="97">
        <v>3000</v>
      </c>
      <c r="G61" s="97" t="s">
        <v>27</v>
      </c>
      <c r="H61" s="97" t="s">
        <v>10</v>
      </c>
    </row>
    <row r="62" spans="1:8">
      <c r="A62" s="97" t="s">
        <v>114</v>
      </c>
      <c r="B62" s="97" t="s">
        <v>107</v>
      </c>
      <c r="C62" s="97" t="s">
        <v>12</v>
      </c>
      <c r="D62" s="97">
        <v>0</v>
      </c>
      <c r="E62" s="97">
        <v>0</v>
      </c>
      <c r="F62" s="97">
        <v>3000</v>
      </c>
      <c r="G62" s="97" t="s">
        <v>28</v>
      </c>
      <c r="H62" s="97" t="s">
        <v>10</v>
      </c>
    </row>
    <row r="63" spans="1:8">
      <c r="A63" s="97" t="s">
        <v>114</v>
      </c>
      <c r="B63" s="97" t="s">
        <v>107</v>
      </c>
      <c r="C63" s="97" t="s">
        <v>12</v>
      </c>
      <c r="D63" s="97">
        <v>0</v>
      </c>
      <c r="E63" s="97">
        <v>0</v>
      </c>
      <c r="F63" s="97">
        <v>3000</v>
      </c>
      <c r="G63" s="97" t="s">
        <v>29</v>
      </c>
      <c r="H63" s="97" t="s">
        <v>10</v>
      </c>
    </row>
    <row r="64" spans="1:8">
      <c r="A64" s="97" t="s">
        <v>114</v>
      </c>
      <c r="B64" s="97" t="s">
        <v>107</v>
      </c>
      <c r="C64" s="97" t="s">
        <v>12</v>
      </c>
      <c r="D64" s="97">
        <v>0</v>
      </c>
      <c r="E64" s="97">
        <v>0</v>
      </c>
      <c r="F64" s="97">
        <v>3000</v>
      </c>
      <c r="G64" s="97" t="s">
        <v>30</v>
      </c>
      <c r="H64" s="97" t="s">
        <v>4</v>
      </c>
    </row>
    <row r="65" spans="1:8">
      <c r="A65" s="97" t="s">
        <v>114</v>
      </c>
      <c r="B65" s="97" t="s">
        <v>107</v>
      </c>
      <c r="C65" s="97" t="s">
        <v>12</v>
      </c>
      <c r="D65" s="97">
        <v>0</v>
      </c>
      <c r="E65" s="97">
        <v>0</v>
      </c>
      <c r="F65" s="97">
        <v>3000</v>
      </c>
      <c r="G65" s="97" t="s">
        <v>31</v>
      </c>
      <c r="H65" s="97" t="s">
        <v>10</v>
      </c>
    </row>
    <row r="66" spans="1:8">
      <c r="A66" s="97" t="s">
        <v>114</v>
      </c>
      <c r="B66" s="97" t="s">
        <v>107</v>
      </c>
      <c r="C66" s="97" t="s">
        <v>12</v>
      </c>
      <c r="D66" s="97">
        <v>0</v>
      </c>
      <c r="E66" s="97">
        <v>0</v>
      </c>
      <c r="F66" s="97">
        <v>3000</v>
      </c>
      <c r="G66" s="97" t="s">
        <v>32</v>
      </c>
      <c r="H66" s="97" t="s">
        <v>4</v>
      </c>
    </row>
    <row r="67" spans="1:8">
      <c r="A67" s="97" t="s">
        <v>114</v>
      </c>
      <c r="B67" s="97" t="s">
        <v>107</v>
      </c>
      <c r="C67" s="97" t="s">
        <v>12</v>
      </c>
      <c r="D67" s="97">
        <v>0</v>
      </c>
      <c r="E67" s="97">
        <v>0</v>
      </c>
      <c r="F67" s="97">
        <v>3000</v>
      </c>
      <c r="G67" s="97" t="s">
        <v>33</v>
      </c>
      <c r="H67" s="97" t="s">
        <v>4</v>
      </c>
    </row>
    <row r="68" spans="1:8">
      <c r="A68" s="97" t="s">
        <v>114</v>
      </c>
      <c r="B68" s="97" t="s">
        <v>107</v>
      </c>
      <c r="C68" s="97" t="s">
        <v>12</v>
      </c>
      <c r="D68" s="97">
        <v>0</v>
      </c>
      <c r="E68" s="97">
        <v>0</v>
      </c>
      <c r="F68" s="97">
        <v>3000</v>
      </c>
      <c r="G68" s="97" t="s">
        <v>34</v>
      </c>
      <c r="H68" s="97" t="s">
        <v>8</v>
      </c>
    </row>
    <row r="69" spans="1:8">
      <c r="A69" s="97" t="s">
        <v>114</v>
      </c>
      <c r="B69" s="97" t="s">
        <v>107</v>
      </c>
      <c r="C69" s="97" t="s">
        <v>12</v>
      </c>
      <c r="D69" s="97">
        <v>0</v>
      </c>
      <c r="E69" s="97">
        <v>0</v>
      </c>
      <c r="F69" s="97">
        <v>3000</v>
      </c>
      <c r="G69" s="97" t="s">
        <v>129</v>
      </c>
      <c r="H69" s="97">
        <v>3000</v>
      </c>
    </row>
    <row r="70" spans="1:8">
      <c r="A70" s="97" t="s">
        <v>114</v>
      </c>
      <c r="B70" s="97" t="s">
        <v>107</v>
      </c>
      <c r="C70" s="97" t="s">
        <v>12</v>
      </c>
      <c r="D70" s="97">
        <v>0</v>
      </c>
      <c r="E70" s="97">
        <v>0</v>
      </c>
      <c r="F70" s="97">
        <v>3000</v>
      </c>
      <c r="G70" s="97" t="s">
        <v>132</v>
      </c>
      <c r="H70" s="97">
        <v>6</v>
      </c>
    </row>
    <row r="71" spans="1:8">
      <c r="A71" s="97" t="s">
        <v>114</v>
      </c>
      <c r="B71" s="97" t="s">
        <v>107</v>
      </c>
      <c r="C71" s="97" t="s">
        <v>12</v>
      </c>
      <c r="D71" s="97">
        <v>0</v>
      </c>
      <c r="E71" s="97">
        <v>0</v>
      </c>
      <c r="F71" s="97">
        <v>3000</v>
      </c>
      <c r="G71" s="97" t="s">
        <v>147</v>
      </c>
      <c r="H71" s="97" t="s">
        <v>149</v>
      </c>
    </row>
    <row r="72" spans="1:8">
      <c r="A72" s="97" t="s">
        <v>45</v>
      </c>
      <c r="B72" s="97" t="s">
        <v>107</v>
      </c>
      <c r="C72" s="97" t="s">
        <v>12</v>
      </c>
      <c r="D72" s="97">
        <v>1500</v>
      </c>
      <c r="E72" s="97">
        <v>0</v>
      </c>
      <c r="F72" s="97">
        <v>0</v>
      </c>
      <c r="G72" s="97" t="s">
        <v>24</v>
      </c>
      <c r="H72" s="97" t="s">
        <v>4</v>
      </c>
    </row>
    <row r="73" spans="1:8">
      <c r="A73" s="97" t="s">
        <v>45</v>
      </c>
      <c r="B73" s="97" t="s">
        <v>107</v>
      </c>
      <c r="C73" s="97" t="s">
        <v>12</v>
      </c>
      <c r="D73" s="97">
        <v>1500</v>
      </c>
      <c r="E73" s="97">
        <v>0</v>
      </c>
      <c r="F73" s="97">
        <v>0</v>
      </c>
      <c r="G73" s="97" t="s">
        <v>25</v>
      </c>
      <c r="H73" s="97" t="s">
        <v>4</v>
      </c>
    </row>
    <row r="74" spans="1:8">
      <c r="A74" s="97" t="s">
        <v>45</v>
      </c>
      <c r="B74" s="97" t="s">
        <v>107</v>
      </c>
      <c r="C74" s="97" t="s">
        <v>12</v>
      </c>
      <c r="D74" s="97">
        <v>1500</v>
      </c>
      <c r="E74" s="97">
        <v>0</v>
      </c>
      <c r="F74" s="97">
        <v>0</v>
      </c>
      <c r="G74" s="97" t="s">
        <v>26</v>
      </c>
      <c r="H74" s="97" t="s">
        <v>6</v>
      </c>
    </row>
    <row r="75" spans="1:8">
      <c r="A75" s="97" t="s">
        <v>45</v>
      </c>
      <c r="B75" s="97" t="s">
        <v>107</v>
      </c>
      <c r="C75" s="97" t="s">
        <v>12</v>
      </c>
      <c r="D75" s="97">
        <v>1500</v>
      </c>
      <c r="E75" s="97">
        <v>0</v>
      </c>
      <c r="F75" s="97">
        <v>0</v>
      </c>
      <c r="G75" s="97" t="s">
        <v>27</v>
      </c>
      <c r="H75" s="97" t="s">
        <v>6</v>
      </c>
    </row>
    <row r="76" spans="1:8">
      <c r="A76" s="97" t="s">
        <v>45</v>
      </c>
      <c r="B76" s="97" t="s">
        <v>107</v>
      </c>
      <c r="C76" s="97" t="s">
        <v>12</v>
      </c>
      <c r="D76" s="97">
        <v>1500</v>
      </c>
      <c r="E76" s="97">
        <v>0</v>
      </c>
      <c r="F76" s="97">
        <v>0</v>
      </c>
      <c r="G76" s="97" t="s">
        <v>28</v>
      </c>
      <c r="H76" s="97" t="s">
        <v>6</v>
      </c>
    </row>
    <row r="77" spans="1:8">
      <c r="A77" s="97" t="s">
        <v>45</v>
      </c>
      <c r="B77" s="97" t="s">
        <v>107</v>
      </c>
      <c r="C77" s="97" t="s">
        <v>12</v>
      </c>
      <c r="D77" s="97">
        <v>1500</v>
      </c>
      <c r="E77" s="97">
        <v>0</v>
      </c>
      <c r="F77" s="97">
        <v>0</v>
      </c>
      <c r="G77" s="97" t="s">
        <v>29</v>
      </c>
      <c r="H77" s="97" t="s">
        <v>6</v>
      </c>
    </row>
    <row r="78" spans="1:8">
      <c r="A78" s="97" t="s">
        <v>45</v>
      </c>
      <c r="B78" s="97" t="s">
        <v>107</v>
      </c>
      <c r="C78" s="97" t="s">
        <v>12</v>
      </c>
      <c r="D78" s="97">
        <v>1500</v>
      </c>
      <c r="E78" s="97">
        <v>0</v>
      </c>
      <c r="F78" s="97">
        <v>0</v>
      </c>
      <c r="G78" s="97" t="s">
        <v>30</v>
      </c>
      <c r="H78" s="97" t="s">
        <v>4</v>
      </c>
    </row>
    <row r="79" spans="1:8">
      <c r="A79" s="97" t="s">
        <v>45</v>
      </c>
      <c r="B79" s="97" t="s">
        <v>107</v>
      </c>
      <c r="C79" s="97" t="s">
        <v>12</v>
      </c>
      <c r="D79" s="97">
        <v>1500</v>
      </c>
      <c r="E79" s="97">
        <v>0</v>
      </c>
      <c r="F79" s="97">
        <v>0</v>
      </c>
      <c r="G79" s="97" t="s">
        <v>31</v>
      </c>
      <c r="H79" s="97" t="s">
        <v>6</v>
      </c>
    </row>
    <row r="80" spans="1:8">
      <c r="A80" s="97" t="s">
        <v>45</v>
      </c>
      <c r="B80" s="97" t="s">
        <v>107</v>
      </c>
      <c r="C80" s="97" t="s">
        <v>12</v>
      </c>
      <c r="D80" s="97">
        <v>1500</v>
      </c>
      <c r="E80" s="97">
        <v>0</v>
      </c>
      <c r="F80" s="97">
        <v>0</v>
      </c>
      <c r="G80" s="97" t="s">
        <v>32</v>
      </c>
      <c r="H80" s="97" t="s">
        <v>8</v>
      </c>
    </row>
    <row r="81" spans="1:8">
      <c r="A81" s="97" t="s">
        <v>45</v>
      </c>
      <c r="B81" s="97" t="s">
        <v>107</v>
      </c>
      <c r="C81" s="97" t="s">
        <v>12</v>
      </c>
      <c r="D81" s="97">
        <v>1500</v>
      </c>
      <c r="E81" s="97">
        <v>0</v>
      </c>
      <c r="F81" s="97">
        <v>0</v>
      </c>
      <c r="G81" s="97" t="s">
        <v>33</v>
      </c>
      <c r="H81" s="97" t="s">
        <v>4</v>
      </c>
    </row>
    <row r="82" spans="1:8">
      <c r="A82" s="97" t="s">
        <v>45</v>
      </c>
      <c r="B82" s="97" t="s">
        <v>107</v>
      </c>
      <c r="C82" s="97" t="s">
        <v>12</v>
      </c>
      <c r="D82" s="97">
        <v>1500</v>
      </c>
      <c r="E82" s="97">
        <v>0</v>
      </c>
      <c r="F82" s="97">
        <v>0</v>
      </c>
      <c r="G82" s="97" t="s">
        <v>34</v>
      </c>
      <c r="H82" s="97" t="s">
        <v>4</v>
      </c>
    </row>
    <row r="83" spans="1:8">
      <c r="A83" s="97" t="s">
        <v>45</v>
      </c>
      <c r="B83" s="97" t="s">
        <v>107</v>
      </c>
      <c r="C83" s="97" t="s">
        <v>12</v>
      </c>
      <c r="D83" s="97">
        <v>1500</v>
      </c>
      <c r="E83" s="97">
        <v>0</v>
      </c>
      <c r="F83" s="97">
        <v>0</v>
      </c>
      <c r="G83" s="97" t="s">
        <v>129</v>
      </c>
      <c r="H83" s="97">
        <v>1500</v>
      </c>
    </row>
    <row r="84" spans="1:8">
      <c r="A84" s="97" t="s">
        <v>45</v>
      </c>
      <c r="B84" s="97" t="s">
        <v>107</v>
      </c>
      <c r="C84" s="97" t="s">
        <v>12</v>
      </c>
      <c r="D84" s="97">
        <v>1500</v>
      </c>
      <c r="E84" s="97">
        <v>0</v>
      </c>
      <c r="F84" s="97">
        <v>0</v>
      </c>
      <c r="G84" s="97" t="s">
        <v>132</v>
      </c>
      <c r="H84" s="97">
        <v>0</v>
      </c>
    </row>
    <row r="85" spans="1:8">
      <c r="A85" s="97" t="s">
        <v>45</v>
      </c>
      <c r="B85" s="97" t="s">
        <v>107</v>
      </c>
      <c r="C85" s="97" t="s">
        <v>12</v>
      </c>
      <c r="D85" s="97">
        <v>1500</v>
      </c>
      <c r="E85" s="97">
        <v>0</v>
      </c>
      <c r="F85" s="97">
        <v>0</v>
      </c>
      <c r="G85" s="97" t="s">
        <v>147</v>
      </c>
      <c r="H85" s="97" t="s">
        <v>148</v>
      </c>
    </row>
    <row r="86" spans="1:8">
      <c r="A86" s="97" t="s">
        <v>83</v>
      </c>
      <c r="B86" s="97" t="s">
        <v>106</v>
      </c>
      <c r="C86" s="97" t="s">
        <v>16</v>
      </c>
      <c r="D86" s="97">
        <v>0</v>
      </c>
      <c r="E86" s="97">
        <v>0</v>
      </c>
      <c r="F86" s="97">
        <v>0</v>
      </c>
      <c r="G86" s="97" t="s">
        <v>24</v>
      </c>
      <c r="H86" s="97" t="s">
        <v>4</v>
      </c>
    </row>
    <row r="87" spans="1:8">
      <c r="A87" s="97" t="s">
        <v>83</v>
      </c>
      <c r="B87" s="97" t="s">
        <v>106</v>
      </c>
      <c r="C87" s="97" t="s">
        <v>16</v>
      </c>
      <c r="D87" s="97">
        <v>0</v>
      </c>
      <c r="E87" s="97">
        <v>0</v>
      </c>
      <c r="F87" s="97">
        <v>0</v>
      </c>
      <c r="G87" s="97" t="s">
        <v>25</v>
      </c>
      <c r="H87" s="97" t="s">
        <v>4</v>
      </c>
    </row>
    <row r="88" spans="1:8">
      <c r="A88" s="97" t="s">
        <v>83</v>
      </c>
      <c r="B88" s="97" t="s">
        <v>106</v>
      </c>
      <c r="C88" s="97" t="s">
        <v>16</v>
      </c>
      <c r="D88" s="97">
        <v>0</v>
      </c>
      <c r="E88" s="97">
        <v>0</v>
      </c>
      <c r="F88" s="97">
        <v>0</v>
      </c>
      <c r="G88" s="97" t="s">
        <v>26</v>
      </c>
      <c r="H88" s="97" t="s">
        <v>4</v>
      </c>
    </row>
    <row r="89" spans="1:8">
      <c r="A89" s="97" t="s">
        <v>83</v>
      </c>
      <c r="B89" s="97" t="s">
        <v>106</v>
      </c>
      <c r="C89" s="97" t="s">
        <v>16</v>
      </c>
      <c r="D89" s="97">
        <v>0</v>
      </c>
      <c r="E89" s="97">
        <v>0</v>
      </c>
      <c r="F89" s="97">
        <v>0</v>
      </c>
      <c r="G89" s="97" t="s">
        <v>27</v>
      </c>
      <c r="H89" s="97" t="s">
        <v>4</v>
      </c>
    </row>
    <row r="90" spans="1:8">
      <c r="A90" s="97" t="s">
        <v>83</v>
      </c>
      <c r="B90" s="97" t="s">
        <v>106</v>
      </c>
      <c r="C90" s="97" t="s">
        <v>16</v>
      </c>
      <c r="D90" s="97">
        <v>0</v>
      </c>
      <c r="E90" s="97">
        <v>0</v>
      </c>
      <c r="F90" s="97">
        <v>0</v>
      </c>
      <c r="G90" s="97" t="s">
        <v>28</v>
      </c>
      <c r="H90" s="97" t="s">
        <v>8</v>
      </c>
    </row>
    <row r="91" spans="1:8">
      <c r="A91" s="97" t="s">
        <v>83</v>
      </c>
      <c r="B91" s="97" t="s">
        <v>106</v>
      </c>
      <c r="C91" s="97" t="s">
        <v>16</v>
      </c>
      <c r="D91" s="97">
        <v>0</v>
      </c>
      <c r="E91" s="97">
        <v>0</v>
      </c>
      <c r="F91" s="97">
        <v>0</v>
      </c>
      <c r="G91" s="97" t="s">
        <v>29</v>
      </c>
      <c r="H91" s="97" t="s">
        <v>4</v>
      </c>
    </row>
    <row r="92" spans="1:8">
      <c r="A92" s="97" t="s">
        <v>83</v>
      </c>
      <c r="B92" s="97" t="s">
        <v>106</v>
      </c>
      <c r="C92" s="97" t="s">
        <v>16</v>
      </c>
      <c r="D92" s="97">
        <v>0</v>
      </c>
      <c r="E92" s="97">
        <v>0</v>
      </c>
      <c r="F92" s="97">
        <v>0</v>
      </c>
      <c r="G92" s="97" t="s">
        <v>30</v>
      </c>
      <c r="H92" s="97" t="s">
        <v>4</v>
      </c>
    </row>
    <row r="93" spans="1:8">
      <c r="A93" s="97" t="s">
        <v>83</v>
      </c>
      <c r="B93" s="97" t="s">
        <v>106</v>
      </c>
      <c r="C93" s="97" t="s">
        <v>16</v>
      </c>
      <c r="D93" s="97">
        <v>0</v>
      </c>
      <c r="E93" s="97">
        <v>0</v>
      </c>
      <c r="F93" s="97">
        <v>0</v>
      </c>
      <c r="G93" s="97" t="s">
        <v>31</v>
      </c>
      <c r="H93" s="97" t="s">
        <v>4</v>
      </c>
    </row>
    <row r="94" spans="1:8">
      <c r="A94" s="97" t="s">
        <v>83</v>
      </c>
      <c r="B94" s="97" t="s">
        <v>106</v>
      </c>
      <c r="C94" s="97" t="s">
        <v>16</v>
      </c>
      <c r="D94" s="97">
        <v>0</v>
      </c>
      <c r="E94" s="97">
        <v>0</v>
      </c>
      <c r="F94" s="97">
        <v>0</v>
      </c>
      <c r="G94" s="97" t="s">
        <v>32</v>
      </c>
      <c r="H94" s="97" t="s">
        <v>4</v>
      </c>
    </row>
    <row r="95" spans="1:8">
      <c r="A95" s="97" t="s">
        <v>83</v>
      </c>
      <c r="B95" s="97" t="s">
        <v>106</v>
      </c>
      <c r="C95" s="97" t="s">
        <v>16</v>
      </c>
      <c r="D95" s="97">
        <v>0</v>
      </c>
      <c r="E95" s="97">
        <v>0</v>
      </c>
      <c r="F95" s="97">
        <v>0</v>
      </c>
      <c r="G95" s="97" t="s">
        <v>33</v>
      </c>
      <c r="H95" s="97" t="s">
        <v>4</v>
      </c>
    </row>
    <row r="96" spans="1:8">
      <c r="A96" s="97" t="s">
        <v>83</v>
      </c>
      <c r="B96" s="97" t="s">
        <v>106</v>
      </c>
      <c r="C96" s="97" t="s">
        <v>16</v>
      </c>
      <c r="D96" s="97">
        <v>0</v>
      </c>
      <c r="E96" s="97">
        <v>0</v>
      </c>
      <c r="F96" s="97">
        <v>0</v>
      </c>
      <c r="G96" s="97" t="s">
        <v>34</v>
      </c>
      <c r="H96" s="97" t="s">
        <v>4</v>
      </c>
    </row>
    <row r="97" spans="1:8">
      <c r="A97" s="97" t="s">
        <v>83</v>
      </c>
      <c r="B97" s="97" t="s">
        <v>106</v>
      </c>
      <c r="C97" s="97" t="s">
        <v>16</v>
      </c>
      <c r="D97" s="97">
        <v>0</v>
      </c>
      <c r="E97" s="97">
        <v>0</v>
      </c>
      <c r="F97" s="97">
        <v>0</v>
      </c>
      <c r="G97" s="97" t="s">
        <v>129</v>
      </c>
      <c r="H97" s="97">
        <v>0</v>
      </c>
    </row>
    <row r="98" spans="1:8">
      <c r="A98" s="97" t="s">
        <v>83</v>
      </c>
      <c r="B98" s="97" t="s">
        <v>106</v>
      </c>
      <c r="C98" s="97" t="s">
        <v>16</v>
      </c>
      <c r="D98" s="97">
        <v>0</v>
      </c>
      <c r="E98" s="97">
        <v>0</v>
      </c>
      <c r="F98" s="97">
        <v>0</v>
      </c>
      <c r="G98" s="97" t="s">
        <v>132</v>
      </c>
      <c r="H98" s="97">
        <v>0</v>
      </c>
    </row>
    <row r="99" spans="1:8">
      <c r="A99" s="97" t="s">
        <v>83</v>
      </c>
      <c r="B99" s="97" t="s">
        <v>106</v>
      </c>
      <c r="C99" s="97" t="s">
        <v>16</v>
      </c>
      <c r="D99" s="97">
        <v>0</v>
      </c>
      <c r="E99" s="97">
        <v>0</v>
      </c>
      <c r="F99" s="97">
        <v>0</v>
      </c>
      <c r="G99" s="97" t="s">
        <v>147</v>
      </c>
      <c r="H99" s="97" t="s">
        <v>148</v>
      </c>
    </row>
    <row r="100" spans="1:8">
      <c r="A100" s="97" t="s">
        <v>94</v>
      </c>
      <c r="B100" s="97" t="s">
        <v>106</v>
      </c>
      <c r="C100" s="97" t="s">
        <v>13</v>
      </c>
      <c r="D100" s="97">
        <v>0</v>
      </c>
      <c r="E100" s="97">
        <v>0</v>
      </c>
      <c r="F100" s="97">
        <v>1000</v>
      </c>
      <c r="G100" s="97" t="s">
        <v>24</v>
      </c>
      <c r="H100" s="97" t="s">
        <v>4</v>
      </c>
    </row>
    <row r="101" spans="1:8">
      <c r="A101" s="97" t="s">
        <v>94</v>
      </c>
      <c r="B101" s="97" t="s">
        <v>106</v>
      </c>
      <c r="C101" s="97" t="s">
        <v>13</v>
      </c>
      <c r="D101" s="97">
        <v>0</v>
      </c>
      <c r="E101" s="97">
        <v>0</v>
      </c>
      <c r="F101" s="97">
        <v>1000</v>
      </c>
      <c r="G101" s="97" t="s">
        <v>25</v>
      </c>
      <c r="H101" s="97" t="s">
        <v>4</v>
      </c>
    </row>
    <row r="102" spans="1:8">
      <c r="A102" s="97" t="s">
        <v>94</v>
      </c>
      <c r="B102" s="97" t="s">
        <v>106</v>
      </c>
      <c r="C102" s="97" t="s">
        <v>13</v>
      </c>
      <c r="D102" s="97">
        <v>0</v>
      </c>
      <c r="E102" s="97">
        <v>0</v>
      </c>
      <c r="F102" s="97">
        <v>1000</v>
      </c>
      <c r="G102" s="97" t="s">
        <v>26</v>
      </c>
      <c r="H102" s="97" t="s">
        <v>4</v>
      </c>
    </row>
    <row r="103" spans="1:8">
      <c r="A103" s="97" t="s">
        <v>94</v>
      </c>
      <c r="B103" s="97" t="s">
        <v>106</v>
      </c>
      <c r="C103" s="97" t="s">
        <v>13</v>
      </c>
      <c r="D103" s="97">
        <v>0</v>
      </c>
      <c r="E103" s="97">
        <v>0</v>
      </c>
      <c r="F103" s="97">
        <v>1000</v>
      </c>
      <c r="G103" s="97" t="s">
        <v>27</v>
      </c>
      <c r="H103" s="97" t="s">
        <v>4</v>
      </c>
    </row>
    <row r="104" spans="1:8">
      <c r="A104" s="97" t="s">
        <v>94</v>
      </c>
      <c r="B104" s="97" t="s">
        <v>106</v>
      </c>
      <c r="C104" s="97" t="s">
        <v>13</v>
      </c>
      <c r="D104" s="97">
        <v>0</v>
      </c>
      <c r="E104" s="97">
        <v>0</v>
      </c>
      <c r="F104" s="97">
        <v>1000</v>
      </c>
      <c r="G104" s="97" t="s">
        <v>28</v>
      </c>
      <c r="H104" s="97" t="s">
        <v>10</v>
      </c>
    </row>
    <row r="105" spans="1:8">
      <c r="A105" s="97" t="s">
        <v>94</v>
      </c>
      <c r="B105" s="97" t="s">
        <v>106</v>
      </c>
      <c r="C105" s="97" t="s">
        <v>13</v>
      </c>
      <c r="D105" s="97">
        <v>0</v>
      </c>
      <c r="E105" s="97">
        <v>0</v>
      </c>
      <c r="F105" s="97">
        <v>1000</v>
      </c>
      <c r="G105" s="97" t="s">
        <v>29</v>
      </c>
      <c r="H105" s="97" t="s">
        <v>4</v>
      </c>
    </row>
    <row r="106" spans="1:8">
      <c r="A106" s="97" t="s">
        <v>94</v>
      </c>
      <c r="B106" s="97" t="s">
        <v>106</v>
      </c>
      <c r="C106" s="97" t="s">
        <v>13</v>
      </c>
      <c r="D106" s="97">
        <v>0</v>
      </c>
      <c r="E106" s="97">
        <v>0</v>
      </c>
      <c r="F106" s="97">
        <v>1000</v>
      </c>
      <c r="G106" s="97" t="s">
        <v>30</v>
      </c>
      <c r="H106" s="97" t="s">
        <v>4</v>
      </c>
    </row>
    <row r="107" spans="1:8">
      <c r="A107" s="97" t="s">
        <v>94</v>
      </c>
      <c r="B107" s="97" t="s">
        <v>106</v>
      </c>
      <c r="C107" s="97" t="s">
        <v>13</v>
      </c>
      <c r="D107" s="97">
        <v>0</v>
      </c>
      <c r="E107" s="97">
        <v>0</v>
      </c>
      <c r="F107" s="97">
        <v>1000</v>
      </c>
      <c r="G107" s="97" t="s">
        <v>31</v>
      </c>
      <c r="H107" s="97" t="s">
        <v>10</v>
      </c>
    </row>
    <row r="108" spans="1:8">
      <c r="A108" s="97" t="s">
        <v>94</v>
      </c>
      <c r="B108" s="97" t="s">
        <v>106</v>
      </c>
      <c r="C108" s="97" t="s">
        <v>13</v>
      </c>
      <c r="D108" s="97">
        <v>0</v>
      </c>
      <c r="E108" s="97">
        <v>0</v>
      </c>
      <c r="F108" s="97">
        <v>1000</v>
      </c>
      <c r="G108" s="97" t="s">
        <v>32</v>
      </c>
      <c r="H108" s="97" t="s">
        <v>4</v>
      </c>
    </row>
    <row r="109" spans="1:8">
      <c r="A109" s="97" t="s">
        <v>94</v>
      </c>
      <c r="B109" s="97" t="s">
        <v>106</v>
      </c>
      <c r="C109" s="97" t="s">
        <v>13</v>
      </c>
      <c r="D109" s="97">
        <v>0</v>
      </c>
      <c r="E109" s="97">
        <v>0</v>
      </c>
      <c r="F109" s="97">
        <v>1000</v>
      </c>
      <c r="G109" s="97" t="s">
        <v>33</v>
      </c>
      <c r="H109" s="97" t="s">
        <v>4</v>
      </c>
    </row>
    <row r="110" spans="1:8">
      <c r="A110" s="97" t="s">
        <v>94</v>
      </c>
      <c r="B110" s="97" t="s">
        <v>106</v>
      </c>
      <c r="C110" s="97" t="s">
        <v>13</v>
      </c>
      <c r="D110" s="97">
        <v>0</v>
      </c>
      <c r="E110" s="97">
        <v>0</v>
      </c>
      <c r="F110" s="97">
        <v>1000</v>
      </c>
      <c r="G110" s="97" t="s">
        <v>34</v>
      </c>
      <c r="H110" s="97" t="s">
        <v>4</v>
      </c>
    </row>
    <row r="111" spans="1:8">
      <c r="A111" s="97" t="s">
        <v>94</v>
      </c>
      <c r="B111" s="97" t="s">
        <v>106</v>
      </c>
      <c r="C111" s="97" t="s">
        <v>13</v>
      </c>
      <c r="D111" s="97">
        <v>0</v>
      </c>
      <c r="E111" s="97">
        <v>0</v>
      </c>
      <c r="F111" s="97">
        <v>1000</v>
      </c>
      <c r="G111" s="97" t="s">
        <v>129</v>
      </c>
      <c r="H111" s="97">
        <v>1000</v>
      </c>
    </row>
    <row r="112" spans="1:8">
      <c r="A112" s="97" t="s">
        <v>94</v>
      </c>
      <c r="B112" s="97" t="s">
        <v>106</v>
      </c>
      <c r="C112" s="97" t="s">
        <v>13</v>
      </c>
      <c r="D112" s="97">
        <v>0</v>
      </c>
      <c r="E112" s="97">
        <v>0</v>
      </c>
      <c r="F112" s="97">
        <v>1000</v>
      </c>
      <c r="G112" s="97" t="s">
        <v>132</v>
      </c>
      <c r="H112" s="97">
        <v>2</v>
      </c>
    </row>
    <row r="113" spans="1:8">
      <c r="A113" s="97" t="s">
        <v>94</v>
      </c>
      <c r="B113" s="97" t="s">
        <v>106</v>
      </c>
      <c r="C113" s="97" t="s">
        <v>13</v>
      </c>
      <c r="D113" s="97">
        <v>0</v>
      </c>
      <c r="E113" s="97">
        <v>0</v>
      </c>
      <c r="F113" s="97">
        <v>1000</v>
      </c>
      <c r="G113" s="97" t="s">
        <v>147</v>
      </c>
      <c r="H113" s="97" t="s">
        <v>149</v>
      </c>
    </row>
    <row r="114" spans="1:8">
      <c r="A114" s="97" t="s">
        <v>81</v>
      </c>
      <c r="B114" s="97" t="s">
        <v>107</v>
      </c>
      <c r="C114" s="97" t="s">
        <v>16</v>
      </c>
      <c r="D114" s="97">
        <v>0</v>
      </c>
      <c r="E114" s="97">
        <v>0</v>
      </c>
      <c r="F114" s="97">
        <v>0</v>
      </c>
      <c r="G114" s="97" t="s">
        <v>24</v>
      </c>
      <c r="H114" s="97" t="s">
        <v>4</v>
      </c>
    </row>
    <row r="115" spans="1:8">
      <c r="A115" s="97" t="s">
        <v>81</v>
      </c>
      <c r="B115" s="97" t="s">
        <v>107</v>
      </c>
      <c r="C115" s="97" t="s">
        <v>16</v>
      </c>
      <c r="D115" s="97">
        <v>0</v>
      </c>
      <c r="E115" s="97">
        <v>0</v>
      </c>
      <c r="F115" s="97">
        <v>0</v>
      </c>
      <c r="G115" s="97" t="s">
        <v>25</v>
      </c>
      <c r="H115" s="97" t="s">
        <v>4</v>
      </c>
    </row>
    <row r="116" spans="1:8">
      <c r="A116" s="97" t="s">
        <v>81</v>
      </c>
      <c r="B116" s="97" t="s">
        <v>107</v>
      </c>
      <c r="C116" s="97" t="s">
        <v>16</v>
      </c>
      <c r="D116" s="97">
        <v>0</v>
      </c>
      <c r="E116" s="97">
        <v>0</v>
      </c>
      <c r="F116" s="97">
        <v>0</v>
      </c>
      <c r="G116" s="97" t="s">
        <v>26</v>
      </c>
      <c r="H116" s="97" t="s">
        <v>4</v>
      </c>
    </row>
    <row r="117" spans="1:8">
      <c r="A117" s="97" t="s">
        <v>81</v>
      </c>
      <c r="B117" s="97" t="s">
        <v>107</v>
      </c>
      <c r="C117" s="97" t="s">
        <v>16</v>
      </c>
      <c r="D117" s="97">
        <v>0</v>
      </c>
      <c r="E117" s="97">
        <v>0</v>
      </c>
      <c r="F117" s="97">
        <v>0</v>
      </c>
      <c r="G117" s="97" t="s">
        <v>27</v>
      </c>
      <c r="H117" s="97" t="s">
        <v>4</v>
      </c>
    </row>
    <row r="118" spans="1:8">
      <c r="A118" s="97" t="s">
        <v>81</v>
      </c>
      <c r="B118" s="97" t="s">
        <v>107</v>
      </c>
      <c r="C118" s="97" t="s">
        <v>16</v>
      </c>
      <c r="D118" s="97">
        <v>0</v>
      </c>
      <c r="E118" s="97">
        <v>0</v>
      </c>
      <c r="F118" s="97">
        <v>0</v>
      </c>
      <c r="G118" s="97" t="s">
        <v>28</v>
      </c>
      <c r="H118" s="97" t="s">
        <v>4</v>
      </c>
    </row>
    <row r="119" spans="1:8">
      <c r="A119" s="97" t="s">
        <v>81</v>
      </c>
      <c r="B119" s="97" t="s">
        <v>107</v>
      </c>
      <c r="C119" s="97" t="s">
        <v>16</v>
      </c>
      <c r="D119" s="97">
        <v>0</v>
      </c>
      <c r="E119" s="97">
        <v>0</v>
      </c>
      <c r="F119" s="97">
        <v>0</v>
      </c>
      <c r="G119" s="97" t="s">
        <v>29</v>
      </c>
      <c r="H119" s="97" t="s">
        <v>4</v>
      </c>
    </row>
    <row r="120" spans="1:8">
      <c r="A120" s="97" t="s">
        <v>81</v>
      </c>
      <c r="B120" s="97" t="s">
        <v>107</v>
      </c>
      <c r="C120" s="97" t="s">
        <v>16</v>
      </c>
      <c r="D120" s="97">
        <v>0</v>
      </c>
      <c r="E120" s="97">
        <v>0</v>
      </c>
      <c r="F120" s="97">
        <v>0</v>
      </c>
      <c r="G120" s="97" t="s">
        <v>30</v>
      </c>
      <c r="H120" s="97" t="s">
        <v>4</v>
      </c>
    </row>
    <row r="121" spans="1:8">
      <c r="A121" s="97" t="s">
        <v>81</v>
      </c>
      <c r="B121" s="97" t="s">
        <v>107</v>
      </c>
      <c r="C121" s="97" t="s">
        <v>16</v>
      </c>
      <c r="D121" s="97">
        <v>0</v>
      </c>
      <c r="E121" s="97">
        <v>0</v>
      </c>
      <c r="F121" s="97">
        <v>0</v>
      </c>
      <c r="G121" s="97" t="s">
        <v>31</v>
      </c>
      <c r="H121" s="97" t="s">
        <v>4</v>
      </c>
    </row>
    <row r="122" spans="1:8">
      <c r="A122" s="97" t="s">
        <v>81</v>
      </c>
      <c r="B122" s="97" t="s">
        <v>107</v>
      </c>
      <c r="C122" s="97" t="s">
        <v>16</v>
      </c>
      <c r="D122" s="97">
        <v>0</v>
      </c>
      <c r="E122" s="97">
        <v>0</v>
      </c>
      <c r="F122" s="97">
        <v>0</v>
      </c>
      <c r="G122" s="97" t="s">
        <v>32</v>
      </c>
      <c r="H122" s="97" t="s">
        <v>4</v>
      </c>
    </row>
    <row r="123" spans="1:8">
      <c r="A123" s="97" t="s">
        <v>81</v>
      </c>
      <c r="B123" s="97" t="s">
        <v>107</v>
      </c>
      <c r="C123" s="97" t="s">
        <v>16</v>
      </c>
      <c r="D123" s="97">
        <v>0</v>
      </c>
      <c r="E123" s="97">
        <v>0</v>
      </c>
      <c r="F123" s="97">
        <v>0</v>
      </c>
      <c r="G123" s="97" t="s">
        <v>33</v>
      </c>
      <c r="H123" s="97" t="s">
        <v>4</v>
      </c>
    </row>
    <row r="124" spans="1:8">
      <c r="A124" s="97" t="s">
        <v>81</v>
      </c>
      <c r="B124" s="97" t="s">
        <v>107</v>
      </c>
      <c r="C124" s="97" t="s">
        <v>16</v>
      </c>
      <c r="D124" s="97">
        <v>0</v>
      </c>
      <c r="E124" s="97">
        <v>0</v>
      </c>
      <c r="F124" s="97">
        <v>0</v>
      </c>
      <c r="G124" s="97" t="s">
        <v>34</v>
      </c>
      <c r="H124" s="97" t="s">
        <v>4</v>
      </c>
    </row>
    <row r="125" spans="1:8">
      <c r="A125" s="97" t="s">
        <v>81</v>
      </c>
      <c r="B125" s="97" t="s">
        <v>107</v>
      </c>
      <c r="C125" s="97" t="s">
        <v>16</v>
      </c>
      <c r="D125" s="97">
        <v>0</v>
      </c>
      <c r="E125" s="97">
        <v>0</v>
      </c>
      <c r="F125" s="97">
        <v>0</v>
      </c>
      <c r="G125" s="97" t="s">
        <v>129</v>
      </c>
      <c r="H125" s="97">
        <v>0</v>
      </c>
    </row>
    <row r="126" spans="1:8">
      <c r="A126" s="97" t="s">
        <v>81</v>
      </c>
      <c r="B126" s="97" t="s">
        <v>107</v>
      </c>
      <c r="C126" s="97" t="s">
        <v>16</v>
      </c>
      <c r="D126" s="97">
        <v>0</v>
      </c>
      <c r="E126" s="97">
        <v>0</v>
      </c>
      <c r="F126" s="97">
        <v>0</v>
      </c>
      <c r="G126" s="97" t="s">
        <v>132</v>
      </c>
      <c r="H126" s="97">
        <v>0</v>
      </c>
    </row>
    <row r="127" spans="1:8">
      <c r="A127" s="97" t="s">
        <v>81</v>
      </c>
      <c r="B127" s="97" t="s">
        <v>107</v>
      </c>
      <c r="C127" s="97" t="s">
        <v>16</v>
      </c>
      <c r="D127" s="97">
        <v>0</v>
      </c>
      <c r="E127" s="97">
        <v>0</v>
      </c>
      <c r="F127" s="97">
        <v>0</v>
      </c>
      <c r="G127" s="97" t="s">
        <v>147</v>
      </c>
      <c r="H127" s="97" t="s">
        <v>148</v>
      </c>
    </row>
    <row r="128" spans="1:8">
      <c r="A128" s="97" t="s">
        <v>46</v>
      </c>
      <c r="B128" s="97" t="s">
        <v>107</v>
      </c>
      <c r="C128" s="97" t="s">
        <v>12</v>
      </c>
      <c r="D128" s="97">
        <v>0</v>
      </c>
      <c r="E128" s="97">
        <v>0</v>
      </c>
      <c r="F128" s="97">
        <v>1500</v>
      </c>
      <c r="G128" s="97" t="s">
        <v>24</v>
      </c>
      <c r="H128" s="97" t="s">
        <v>10</v>
      </c>
    </row>
    <row r="129" spans="1:8">
      <c r="A129" s="97" t="s">
        <v>46</v>
      </c>
      <c r="B129" s="97" t="s">
        <v>107</v>
      </c>
      <c r="C129" s="97" t="s">
        <v>12</v>
      </c>
      <c r="D129" s="97">
        <v>0</v>
      </c>
      <c r="E129" s="97">
        <v>0</v>
      </c>
      <c r="F129" s="97">
        <v>1500</v>
      </c>
      <c r="G129" s="97" t="s">
        <v>25</v>
      </c>
      <c r="H129" s="97" t="s">
        <v>10</v>
      </c>
    </row>
    <row r="130" spans="1:8">
      <c r="A130" s="97" t="s">
        <v>46</v>
      </c>
      <c r="B130" s="97" t="s">
        <v>107</v>
      </c>
      <c r="C130" s="97" t="s">
        <v>12</v>
      </c>
      <c r="D130" s="97">
        <v>0</v>
      </c>
      <c r="E130" s="97">
        <v>0</v>
      </c>
      <c r="F130" s="97">
        <v>1500</v>
      </c>
      <c r="G130" s="97" t="s">
        <v>26</v>
      </c>
      <c r="H130" s="97" t="s">
        <v>4</v>
      </c>
    </row>
    <row r="131" spans="1:8">
      <c r="A131" s="97" t="s">
        <v>46</v>
      </c>
      <c r="B131" s="97" t="s">
        <v>107</v>
      </c>
      <c r="C131" s="97" t="s">
        <v>12</v>
      </c>
      <c r="D131" s="97">
        <v>0</v>
      </c>
      <c r="E131" s="97">
        <v>0</v>
      </c>
      <c r="F131" s="97">
        <v>1500</v>
      </c>
      <c r="G131" s="97" t="s">
        <v>27</v>
      </c>
      <c r="H131" s="97" t="s">
        <v>4</v>
      </c>
    </row>
    <row r="132" spans="1:8">
      <c r="A132" s="97" t="s">
        <v>46</v>
      </c>
      <c r="B132" s="97" t="s">
        <v>107</v>
      </c>
      <c r="C132" s="97" t="s">
        <v>12</v>
      </c>
      <c r="D132" s="97">
        <v>0</v>
      </c>
      <c r="E132" s="97">
        <v>0</v>
      </c>
      <c r="F132" s="97">
        <v>1500</v>
      </c>
      <c r="G132" s="97" t="s">
        <v>28</v>
      </c>
      <c r="H132" s="97" t="s">
        <v>4</v>
      </c>
    </row>
    <row r="133" spans="1:8">
      <c r="A133" s="97" t="s">
        <v>46</v>
      </c>
      <c r="B133" s="97" t="s">
        <v>107</v>
      </c>
      <c r="C133" s="97" t="s">
        <v>12</v>
      </c>
      <c r="D133" s="97">
        <v>0</v>
      </c>
      <c r="E133" s="97">
        <v>0</v>
      </c>
      <c r="F133" s="97">
        <v>1500</v>
      </c>
      <c r="G133" s="97" t="s">
        <v>29</v>
      </c>
      <c r="H133" s="97" t="s">
        <v>8</v>
      </c>
    </row>
    <row r="134" spans="1:8">
      <c r="A134" s="97" t="s">
        <v>46</v>
      </c>
      <c r="B134" s="97" t="s">
        <v>107</v>
      </c>
      <c r="C134" s="97" t="s">
        <v>12</v>
      </c>
      <c r="D134" s="97">
        <v>0</v>
      </c>
      <c r="E134" s="97">
        <v>0</v>
      </c>
      <c r="F134" s="97">
        <v>1500</v>
      </c>
      <c r="G134" s="97" t="s">
        <v>30</v>
      </c>
      <c r="H134" s="97" t="s">
        <v>4</v>
      </c>
    </row>
    <row r="135" spans="1:8">
      <c r="A135" s="97" t="s">
        <v>46</v>
      </c>
      <c r="B135" s="97" t="s">
        <v>107</v>
      </c>
      <c r="C135" s="97" t="s">
        <v>12</v>
      </c>
      <c r="D135" s="97">
        <v>0</v>
      </c>
      <c r="E135" s="97">
        <v>0</v>
      </c>
      <c r="F135" s="97">
        <v>1500</v>
      </c>
      <c r="G135" s="97" t="s">
        <v>31</v>
      </c>
      <c r="H135" s="97" t="s">
        <v>4</v>
      </c>
    </row>
    <row r="136" spans="1:8">
      <c r="A136" s="97" t="s">
        <v>46</v>
      </c>
      <c r="B136" s="97" t="s">
        <v>107</v>
      </c>
      <c r="C136" s="97" t="s">
        <v>12</v>
      </c>
      <c r="D136" s="97">
        <v>0</v>
      </c>
      <c r="E136" s="97">
        <v>0</v>
      </c>
      <c r="F136" s="97">
        <v>1500</v>
      </c>
      <c r="G136" s="97" t="s">
        <v>32</v>
      </c>
      <c r="H136" s="97" t="s">
        <v>4</v>
      </c>
    </row>
    <row r="137" spans="1:8">
      <c r="A137" s="97" t="s">
        <v>46</v>
      </c>
      <c r="B137" s="97" t="s">
        <v>107</v>
      </c>
      <c r="C137" s="97" t="s">
        <v>12</v>
      </c>
      <c r="D137" s="97">
        <v>0</v>
      </c>
      <c r="E137" s="97">
        <v>0</v>
      </c>
      <c r="F137" s="97">
        <v>1500</v>
      </c>
      <c r="G137" s="97" t="s">
        <v>33</v>
      </c>
      <c r="H137" s="97" t="s">
        <v>4</v>
      </c>
    </row>
    <row r="138" spans="1:8">
      <c r="A138" s="97" t="s">
        <v>46</v>
      </c>
      <c r="B138" s="97" t="s">
        <v>107</v>
      </c>
      <c r="C138" s="97" t="s">
        <v>12</v>
      </c>
      <c r="D138" s="97">
        <v>0</v>
      </c>
      <c r="E138" s="97">
        <v>0</v>
      </c>
      <c r="F138" s="97">
        <v>1500</v>
      </c>
      <c r="G138" s="97" t="s">
        <v>34</v>
      </c>
      <c r="H138" s="97" t="s">
        <v>10</v>
      </c>
    </row>
    <row r="139" spans="1:8">
      <c r="A139" s="97" t="s">
        <v>46</v>
      </c>
      <c r="B139" s="97" t="s">
        <v>107</v>
      </c>
      <c r="C139" s="97" t="s">
        <v>12</v>
      </c>
      <c r="D139" s="97">
        <v>0</v>
      </c>
      <c r="E139" s="97">
        <v>0</v>
      </c>
      <c r="F139" s="97">
        <v>1500</v>
      </c>
      <c r="G139" s="97" t="s">
        <v>129</v>
      </c>
      <c r="H139" s="97">
        <v>1500</v>
      </c>
    </row>
    <row r="140" spans="1:8">
      <c r="A140" s="97" t="s">
        <v>46</v>
      </c>
      <c r="B140" s="97" t="s">
        <v>107</v>
      </c>
      <c r="C140" s="97" t="s">
        <v>12</v>
      </c>
      <c r="D140" s="97">
        <v>0</v>
      </c>
      <c r="E140" s="97">
        <v>0</v>
      </c>
      <c r="F140" s="97">
        <v>1500</v>
      </c>
      <c r="G140" s="97" t="s">
        <v>132</v>
      </c>
      <c r="H140" s="97">
        <v>3</v>
      </c>
    </row>
    <row r="141" spans="1:8">
      <c r="A141" s="97" t="s">
        <v>46</v>
      </c>
      <c r="B141" s="97" t="s">
        <v>107</v>
      </c>
      <c r="C141" s="97" t="s">
        <v>12</v>
      </c>
      <c r="D141" s="97">
        <v>0</v>
      </c>
      <c r="E141" s="97">
        <v>0</v>
      </c>
      <c r="F141" s="97">
        <v>1500</v>
      </c>
      <c r="G141" s="97" t="s">
        <v>147</v>
      </c>
      <c r="H141" s="97" t="s">
        <v>149</v>
      </c>
    </row>
    <row r="142" spans="1:8">
      <c r="A142" s="97" t="s">
        <v>80</v>
      </c>
      <c r="B142" s="97" t="s">
        <v>106</v>
      </c>
      <c r="C142" s="97" t="s">
        <v>16</v>
      </c>
      <c r="D142" s="97">
        <v>0</v>
      </c>
      <c r="E142" s="97">
        <v>0</v>
      </c>
      <c r="F142" s="97">
        <v>0</v>
      </c>
      <c r="G142" s="97" t="s">
        <v>24</v>
      </c>
      <c r="H142" s="97" t="s">
        <v>4</v>
      </c>
    </row>
    <row r="143" spans="1:8">
      <c r="A143" s="97" t="s">
        <v>80</v>
      </c>
      <c r="B143" s="97" t="s">
        <v>106</v>
      </c>
      <c r="C143" s="97" t="s">
        <v>16</v>
      </c>
      <c r="D143" s="97">
        <v>0</v>
      </c>
      <c r="E143" s="97">
        <v>0</v>
      </c>
      <c r="F143" s="97">
        <v>0</v>
      </c>
      <c r="G143" s="97" t="s">
        <v>25</v>
      </c>
      <c r="H143" s="97" t="s">
        <v>4</v>
      </c>
    </row>
    <row r="144" spans="1:8">
      <c r="A144" s="97" t="s">
        <v>80</v>
      </c>
      <c r="B144" s="97" t="s">
        <v>106</v>
      </c>
      <c r="C144" s="97" t="s">
        <v>16</v>
      </c>
      <c r="D144" s="97">
        <v>0</v>
      </c>
      <c r="E144" s="97">
        <v>0</v>
      </c>
      <c r="F144" s="97">
        <v>0</v>
      </c>
      <c r="G144" s="97" t="s">
        <v>26</v>
      </c>
      <c r="H144" s="97" t="s">
        <v>4</v>
      </c>
    </row>
    <row r="145" spans="1:8">
      <c r="A145" s="97" t="s">
        <v>80</v>
      </c>
      <c r="B145" s="97" t="s">
        <v>106</v>
      </c>
      <c r="C145" s="97" t="s">
        <v>16</v>
      </c>
      <c r="D145" s="97">
        <v>0</v>
      </c>
      <c r="E145" s="97">
        <v>0</v>
      </c>
      <c r="F145" s="97">
        <v>0</v>
      </c>
      <c r="G145" s="97" t="s">
        <v>27</v>
      </c>
      <c r="H145" s="97" t="s">
        <v>4</v>
      </c>
    </row>
    <row r="146" spans="1:8">
      <c r="A146" s="97" t="s">
        <v>80</v>
      </c>
      <c r="B146" s="97" t="s">
        <v>106</v>
      </c>
      <c r="C146" s="97" t="s">
        <v>16</v>
      </c>
      <c r="D146" s="97">
        <v>0</v>
      </c>
      <c r="E146" s="97">
        <v>0</v>
      </c>
      <c r="F146" s="97">
        <v>0</v>
      </c>
      <c r="G146" s="97" t="s">
        <v>28</v>
      </c>
      <c r="H146" s="97" t="s">
        <v>4</v>
      </c>
    </row>
    <row r="147" spans="1:8">
      <c r="A147" s="97" t="s">
        <v>80</v>
      </c>
      <c r="B147" s="97" t="s">
        <v>106</v>
      </c>
      <c r="C147" s="97" t="s">
        <v>16</v>
      </c>
      <c r="D147" s="97">
        <v>0</v>
      </c>
      <c r="E147" s="97">
        <v>0</v>
      </c>
      <c r="F147" s="97">
        <v>0</v>
      </c>
      <c r="G147" s="97" t="s">
        <v>29</v>
      </c>
      <c r="H147" s="97" t="s">
        <v>4</v>
      </c>
    </row>
    <row r="148" spans="1:8">
      <c r="A148" s="97" t="s">
        <v>80</v>
      </c>
      <c r="B148" s="97" t="s">
        <v>106</v>
      </c>
      <c r="C148" s="97" t="s">
        <v>16</v>
      </c>
      <c r="D148" s="97">
        <v>0</v>
      </c>
      <c r="E148" s="97">
        <v>0</v>
      </c>
      <c r="F148" s="97">
        <v>0</v>
      </c>
      <c r="G148" s="97" t="s">
        <v>30</v>
      </c>
      <c r="H148" s="97" t="s">
        <v>4</v>
      </c>
    </row>
    <row r="149" spans="1:8">
      <c r="A149" s="97" t="s">
        <v>80</v>
      </c>
      <c r="B149" s="97" t="s">
        <v>106</v>
      </c>
      <c r="C149" s="97" t="s">
        <v>16</v>
      </c>
      <c r="D149" s="97">
        <v>0</v>
      </c>
      <c r="E149" s="97">
        <v>0</v>
      </c>
      <c r="F149" s="97">
        <v>0</v>
      </c>
      <c r="G149" s="97" t="s">
        <v>31</v>
      </c>
      <c r="H149" s="97" t="s">
        <v>4</v>
      </c>
    </row>
    <row r="150" spans="1:8">
      <c r="A150" s="97" t="s">
        <v>80</v>
      </c>
      <c r="B150" s="97" t="s">
        <v>106</v>
      </c>
      <c r="C150" s="97" t="s">
        <v>16</v>
      </c>
      <c r="D150" s="97">
        <v>0</v>
      </c>
      <c r="E150" s="97">
        <v>0</v>
      </c>
      <c r="F150" s="97">
        <v>0</v>
      </c>
      <c r="G150" s="97" t="s">
        <v>32</v>
      </c>
      <c r="H150" s="97" t="s">
        <v>4</v>
      </c>
    </row>
    <row r="151" spans="1:8">
      <c r="A151" s="97" t="s">
        <v>80</v>
      </c>
      <c r="B151" s="97" t="s">
        <v>106</v>
      </c>
      <c r="C151" s="97" t="s">
        <v>16</v>
      </c>
      <c r="D151" s="97">
        <v>0</v>
      </c>
      <c r="E151" s="97">
        <v>0</v>
      </c>
      <c r="F151" s="97">
        <v>0</v>
      </c>
      <c r="G151" s="97" t="s">
        <v>33</v>
      </c>
      <c r="H151" s="97" t="s">
        <v>4</v>
      </c>
    </row>
    <row r="152" spans="1:8">
      <c r="A152" s="97" t="s">
        <v>80</v>
      </c>
      <c r="B152" s="97" t="s">
        <v>106</v>
      </c>
      <c r="C152" s="97" t="s">
        <v>16</v>
      </c>
      <c r="D152" s="97">
        <v>0</v>
      </c>
      <c r="E152" s="97">
        <v>0</v>
      </c>
      <c r="F152" s="97">
        <v>0</v>
      </c>
      <c r="G152" s="97" t="s">
        <v>34</v>
      </c>
      <c r="H152" s="97" t="s">
        <v>4</v>
      </c>
    </row>
    <row r="153" spans="1:8">
      <c r="A153" s="97" t="s">
        <v>80</v>
      </c>
      <c r="B153" s="97" t="s">
        <v>106</v>
      </c>
      <c r="C153" s="97" t="s">
        <v>16</v>
      </c>
      <c r="D153" s="97">
        <v>0</v>
      </c>
      <c r="E153" s="97">
        <v>0</v>
      </c>
      <c r="F153" s="97">
        <v>0</v>
      </c>
      <c r="G153" s="97" t="s">
        <v>129</v>
      </c>
      <c r="H153" s="97">
        <v>0</v>
      </c>
    </row>
    <row r="154" spans="1:8">
      <c r="A154" s="97" t="s">
        <v>80</v>
      </c>
      <c r="B154" s="97" t="s">
        <v>106</v>
      </c>
      <c r="C154" s="97" t="s">
        <v>16</v>
      </c>
      <c r="D154" s="97">
        <v>0</v>
      </c>
      <c r="E154" s="97">
        <v>0</v>
      </c>
      <c r="F154" s="97">
        <v>0</v>
      </c>
      <c r="G154" s="97" t="s">
        <v>132</v>
      </c>
      <c r="H154" s="97">
        <v>0</v>
      </c>
    </row>
    <row r="155" spans="1:8">
      <c r="A155" s="97" t="s">
        <v>80</v>
      </c>
      <c r="B155" s="97" t="s">
        <v>106</v>
      </c>
      <c r="C155" s="97" t="s">
        <v>16</v>
      </c>
      <c r="D155" s="97">
        <v>0</v>
      </c>
      <c r="E155" s="97">
        <v>0</v>
      </c>
      <c r="F155" s="97">
        <v>0</v>
      </c>
      <c r="G155" s="97" t="s">
        <v>147</v>
      </c>
      <c r="H155" s="97" t="s">
        <v>148</v>
      </c>
    </row>
    <row r="156" spans="1:8">
      <c r="A156" s="97" t="s">
        <v>59</v>
      </c>
      <c r="B156" s="97" t="s">
        <v>107</v>
      </c>
      <c r="C156" s="97" t="s">
        <v>13</v>
      </c>
      <c r="D156" s="97">
        <v>600</v>
      </c>
      <c r="E156" s="97">
        <v>0</v>
      </c>
      <c r="F156" s="97">
        <v>500</v>
      </c>
      <c r="G156" s="97" t="s">
        <v>24</v>
      </c>
      <c r="H156" s="97" t="s">
        <v>4</v>
      </c>
    </row>
    <row r="157" spans="1:8">
      <c r="A157" s="97" t="s">
        <v>59</v>
      </c>
      <c r="B157" s="97" t="s">
        <v>107</v>
      </c>
      <c r="C157" s="97" t="s">
        <v>13</v>
      </c>
      <c r="D157" s="97">
        <v>600</v>
      </c>
      <c r="E157" s="97">
        <v>0</v>
      </c>
      <c r="F157" s="97">
        <v>500</v>
      </c>
      <c r="G157" s="97" t="s">
        <v>25</v>
      </c>
      <c r="H157" s="97" t="s">
        <v>10</v>
      </c>
    </row>
    <row r="158" spans="1:8">
      <c r="A158" s="97" t="s">
        <v>59</v>
      </c>
      <c r="B158" s="97" t="s">
        <v>107</v>
      </c>
      <c r="C158" s="97" t="s">
        <v>13</v>
      </c>
      <c r="D158" s="97">
        <v>600</v>
      </c>
      <c r="E158" s="97">
        <v>0</v>
      </c>
      <c r="F158" s="97">
        <v>500</v>
      </c>
      <c r="G158" s="97" t="s">
        <v>26</v>
      </c>
      <c r="H158" s="97" t="s">
        <v>4</v>
      </c>
    </row>
    <row r="159" spans="1:8">
      <c r="A159" s="97" t="s">
        <v>59</v>
      </c>
      <c r="B159" s="97" t="s">
        <v>107</v>
      </c>
      <c r="C159" s="97" t="s">
        <v>13</v>
      </c>
      <c r="D159" s="97">
        <v>600</v>
      </c>
      <c r="E159" s="97">
        <v>0</v>
      </c>
      <c r="F159" s="97">
        <v>500</v>
      </c>
      <c r="G159" s="97" t="s">
        <v>27</v>
      </c>
      <c r="H159" s="97" t="s">
        <v>4</v>
      </c>
    </row>
    <row r="160" spans="1:8">
      <c r="A160" s="97" t="s">
        <v>59</v>
      </c>
      <c r="B160" s="97" t="s">
        <v>107</v>
      </c>
      <c r="C160" s="97" t="s">
        <v>13</v>
      </c>
      <c r="D160" s="97">
        <v>600</v>
      </c>
      <c r="E160" s="97">
        <v>0</v>
      </c>
      <c r="F160" s="97">
        <v>500</v>
      </c>
      <c r="G160" s="97" t="s">
        <v>28</v>
      </c>
      <c r="H160" s="97" t="s">
        <v>4</v>
      </c>
    </row>
    <row r="161" spans="1:8">
      <c r="A161" s="97" t="s">
        <v>59</v>
      </c>
      <c r="B161" s="97" t="s">
        <v>107</v>
      </c>
      <c r="C161" s="97" t="s">
        <v>13</v>
      </c>
      <c r="D161" s="97">
        <v>600</v>
      </c>
      <c r="E161" s="97">
        <v>0</v>
      </c>
      <c r="F161" s="97">
        <v>500</v>
      </c>
      <c r="G161" s="97" t="s">
        <v>29</v>
      </c>
      <c r="H161" s="97" t="s">
        <v>6</v>
      </c>
    </row>
    <row r="162" spans="1:8">
      <c r="A162" s="97" t="s">
        <v>59</v>
      </c>
      <c r="B162" s="97" t="s">
        <v>107</v>
      </c>
      <c r="C162" s="97" t="s">
        <v>13</v>
      </c>
      <c r="D162" s="97">
        <v>600</v>
      </c>
      <c r="E162" s="97">
        <v>0</v>
      </c>
      <c r="F162" s="97">
        <v>500</v>
      </c>
      <c r="G162" s="97" t="s">
        <v>30</v>
      </c>
      <c r="H162" s="97" t="s">
        <v>4</v>
      </c>
    </row>
    <row r="163" spans="1:8">
      <c r="A163" s="97" t="s">
        <v>59</v>
      </c>
      <c r="B163" s="97" t="s">
        <v>107</v>
      </c>
      <c r="C163" s="97" t="s">
        <v>13</v>
      </c>
      <c r="D163" s="97">
        <v>600</v>
      </c>
      <c r="E163" s="97">
        <v>0</v>
      </c>
      <c r="F163" s="97">
        <v>500</v>
      </c>
      <c r="G163" s="97" t="s">
        <v>31</v>
      </c>
      <c r="H163" s="97" t="s">
        <v>10</v>
      </c>
    </row>
    <row r="164" spans="1:8">
      <c r="A164" s="97" t="s">
        <v>59</v>
      </c>
      <c r="B164" s="97" t="s">
        <v>107</v>
      </c>
      <c r="C164" s="97" t="s">
        <v>13</v>
      </c>
      <c r="D164" s="97">
        <v>600</v>
      </c>
      <c r="E164" s="97">
        <v>0</v>
      </c>
      <c r="F164" s="97">
        <v>500</v>
      </c>
      <c r="G164" s="97" t="s">
        <v>32</v>
      </c>
      <c r="H164" s="97" t="s">
        <v>4</v>
      </c>
    </row>
    <row r="165" spans="1:8">
      <c r="A165" s="97" t="s">
        <v>59</v>
      </c>
      <c r="B165" s="97" t="s">
        <v>107</v>
      </c>
      <c r="C165" s="97" t="s">
        <v>13</v>
      </c>
      <c r="D165" s="97">
        <v>600</v>
      </c>
      <c r="E165" s="97">
        <v>0</v>
      </c>
      <c r="F165" s="97">
        <v>500</v>
      </c>
      <c r="G165" s="97" t="s">
        <v>33</v>
      </c>
      <c r="H165" s="97" t="s">
        <v>4</v>
      </c>
    </row>
    <row r="166" spans="1:8">
      <c r="A166" s="97" t="s">
        <v>59</v>
      </c>
      <c r="B166" s="97" t="s">
        <v>107</v>
      </c>
      <c r="C166" s="97" t="s">
        <v>13</v>
      </c>
      <c r="D166" s="97">
        <v>600</v>
      </c>
      <c r="E166" s="97">
        <v>0</v>
      </c>
      <c r="F166" s="97">
        <v>500</v>
      </c>
      <c r="G166" s="97" t="s">
        <v>34</v>
      </c>
      <c r="H166" s="97" t="s">
        <v>6</v>
      </c>
    </row>
    <row r="167" spans="1:8">
      <c r="A167" s="97" t="s">
        <v>59</v>
      </c>
      <c r="B167" s="97" t="s">
        <v>107</v>
      </c>
      <c r="C167" s="97" t="s">
        <v>13</v>
      </c>
      <c r="D167" s="97">
        <v>600</v>
      </c>
      <c r="E167" s="97">
        <v>0</v>
      </c>
      <c r="F167" s="97">
        <v>500</v>
      </c>
      <c r="G167" s="97" t="s">
        <v>129</v>
      </c>
      <c r="H167" s="97">
        <v>1100</v>
      </c>
    </row>
    <row r="168" spans="1:8">
      <c r="A168" s="97" t="s">
        <v>59</v>
      </c>
      <c r="B168" s="97" t="s">
        <v>107</v>
      </c>
      <c r="C168" s="97" t="s">
        <v>13</v>
      </c>
      <c r="D168" s="97">
        <v>600</v>
      </c>
      <c r="E168" s="97">
        <v>0</v>
      </c>
      <c r="F168" s="97">
        <v>500</v>
      </c>
      <c r="G168" s="97" t="s">
        <v>132</v>
      </c>
      <c r="H168" s="97">
        <v>1</v>
      </c>
    </row>
    <row r="169" spans="1:8">
      <c r="A169" s="97" t="s">
        <v>59</v>
      </c>
      <c r="B169" s="97" t="s">
        <v>107</v>
      </c>
      <c r="C169" s="97" t="s">
        <v>13</v>
      </c>
      <c r="D169" s="97">
        <v>600</v>
      </c>
      <c r="E169" s="97">
        <v>0</v>
      </c>
      <c r="F169" s="97">
        <v>500</v>
      </c>
      <c r="G169" s="97" t="s">
        <v>147</v>
      </c>
      <c r="H169" s="97" t="s">
        <v>149</v>
      </c>
    </row>
    <row r="170" spans="1:8">
      <c r="A170" s="97" t="s">
        <v>42</v>
      </c>
      <c r="B170" s="97" t="s">
        <v>107</v>
      </c>
      <c r="C170" s="97" t="s">
        <v>16</v>
      </c>
      <c r="D170" s="97">
        <v>0</v>
      </c>
      <c r="E170" s="97">
        <v>0</v>
      </c>
      <c r="F170" s="97">
        <v>0</v>
      </c>
      <c r="G170" s="97" t="s">
        <v>24</v>
      </c>
      <c r="H170" s="97" t="s">
        <v>4</v>
      </c>
    </row>
    <row r="171" spans="1:8">
      <c r="A171" s="97" t="s">
        <v>42</v>
      </c>
      <c r="B171" s="97" t="s">
        <v>107</v>
      </c>
      <c r="C171" s="97" t="s">
        <v>16</v>
      </c>
      <c r="D171" s="97">
        <v>0</v>
      </c>
      <c r="E171" s="97">
        <v>0</v>
      </c>
      <c r="F171" s="97">
        <v>0</v>
      </c>
      <c r="G171" s="97" t="s">
        <v>25</v>
      </c>
      <c r="H171" s="97" t="s">
        <v>4</v>
      </c>
    </row>
    <row r="172" spans="1:8">
      <c r="A172" s="97" t="s">
        <v>42</v>
      </c>
      <c r="B172" s="97" t="s">
        <v>107</v>
      </c>
      <c r="C172" s="97" t="s">
        <v>16</v>
      </c>
      <c r="D172" s="97">
        <v>0</v>
      </c>
      <c r="E172" s="97">
        <v>0</v>
      </c>
      <c r="F172" s="97">
        <v>0</v>
      </c>
      <c r="G172" s="97" t="s">
        <v>26</v>
      </c>
      <c r="H172" s="97" t="s">
        <v>4</v>
      </c>
    </row>
    <row r="173" spans="1:8">
      <c r="A173" s="97" t="s">
        <v>42</v>
      </c>
      <c r="B173" s="97" t="s">
        <v>107</v>
      </c>
      <c r="C173" s="97" t="s">
        <v>16</v>
      </c>
      <c r="D173" s="97">
        <v>0</v>
      </c>
      <c r="E173" s="97">
        <v>0</v>
      </c>
      <c r="F173" s="97">
        <v>0</v>
      </c>
      <c r="G173" s="97" t="s">
        <v>27</v>
      </c>
      <c r="H173" s="97" t="s">
        <v>4</v>
      </c>
    </row>
    <row r="174" spans="1:8">
      <c r="A174" s="97" t="s">
        <v>42</v>
      </c>
      <c r="B174" s="97" t="s">
        <v>107</v>
      </c>
      <c r="C174" s="97" t="s">
        <v>16</v>
      </c>
      <c r="D174" s="97">
        <v>0</v>
      </c>
      <c r="E174" s="97">
        <v>0</v>
      </c>
      <c r="F174" s="97">
        <v>0</v>
      </c>
      <c r="G174" s="97" t="s">
        <v>28</v>
      </c>
      <c r="H174" s="97" t="s">
        <v>4</v>
      </c>
    </row>
    <row r="175" spans="1:8">
      <c r="A175" s="97" t="s">
        <v>42</v>
      </c>
      <c r="B175" s="97" t="s">
        <v>107</v>
      </c>
      <c r="C175" s="97" t="s">
        <v>16</v>
      </c>
      <c r="D175" s="97">
        <v>0</v>
      </c>
      <c r="E175" s="97">
        <v>0</v>
      </c>
      <c r="F175" s="97">
        <v>0</v>
      </c>
      <c r="G175" s="97" t="s">
        <v>29</v>
      </c>
      <c r="H175" s="97" t="s">
        <v>4</v>
      </c>
    </row>
    <row r="176" spans="1:8">
      <c r="A176" s="97" t="s">
        <v>42</v>
      </c>
      <c r="B176" s="97" t="s">
        <v>107</v>
      </c>
      <c r="C176" s="97" t="s">
        <v>16</v>
      </c>
      <c r="D176" s="97">
        <v>0</v>
      </c>
      <c r="E176" s="97">
        <v>0</v>
      </c>
      <c r="F176" s="97">
        <v>0</v>
      </c>
      <c r="G176" s="97" t="s">
        <v>30</v>
      </c>
      <c r="H176" s="97" t="s">
        <v>4</v>
      </c>
    </row>
    <row r="177" spans="1:8">
      <c r="A177" s="97" t="s">
        <v>42</v>
      </c>
      <c r="B177" s="97" t="s">
        <v>107</v>
      </c>
      <c r="C177" s="97" t="s">
        <v>16</v>
      </c>
      <c r="D177" s="97">
        <v>0</v>
      </c>
      <c r="E177" s="97">
        <v>0</v>
      </c>
      <c r="F177" s="97">
        <v>0</v>
      </c>
      <c r="G177" s="97" t="s">
        <v>31</v>
      </c>
      <c r="H177" s="97" t="s">
        <v>4</v>
      </c>
    </row>
    <row r="178" spans="1:8">
      <c r="A178" s="97" t="s">
        <v>42</v>
      </c>
      <c r="B178" s="97" t="s">
        <v>107</v>
      </c>
      <c r="C178" s="97" t="s">
        <v>16</v>
      </c>
      <c r="D178" s="97">
        <v>0</v>
      </c>
      <c r="E178" s="97">
        <v>0</v>
      </c>
      <c r="F178" s="97">
        <v>0</v>
      </c>
      <c r="G178" s="97" t="s">
        <v>32</v>
      </c>
      <c r="H178" s="97" t="s">
        <v>4</v>
      </c>
    </row>
    <row r="179" spans="1:8">
      <c r="A179" s="97" t="s">
        <v>42</v>
      </c>
      <c r="B179" s="97" t="s">
        <v>107</v>
      </c>
      <c r="C179" s="97" t="s">
        <v>16</v>
      </c>
      <c r="D179" s="97">
        <v>0</v>
      </c>
      <c r="E179" s="97">
        <v>0</v>
      </c>
      <c r="F179" s="97">
        <v>0</v>
      </c>
      <c r="G179" s="97" t="s">
        <v>33</v>
      </c>
      <c r="H179" s="97" t="s">
        <v>4</v>
      </c>
    </row>
    <row r="180" spans="1:8">
      <c r="A180" s="97" t="s">
        <v>42</v>
      </c>
      <c r="B180" s="97" t="s">
        <v>107</v>
      </c>
      <c r="C180" s="97" t="s">
        <v>16</v>
      </c>
      <c r="D180" s="97">
        <v>0</v>
      </c>
      <c r="E180" s="97">
        <v>0</v>
      </c>
      <c r="F180" s="97">
        <v>0</v>
      </c>
      <c r="G180" s="97" t="s">
        <v>34</v>
      </c>
      <c r="H180" s="97" t="s">
        <v>4</v>
      </c>
    </row>
    <row r="181" spans="1:8">
      <c r="A181" s="97" t="s">
        <v>42</v>
      </c>
      <c r="B181" s="97" t="s">
        <v>107</v>
      </c>
      <c r="C181" s="97" t="s">
        <v>16</v>
      </c>
      <c r="D181" s="97">
        <v>0</v>
      </c>
      <c r="E181" s="97">
        <v>0</v>
      </c>
      <c r="F181" s="97">
        <v>0</v>
      </c>
      <c r="G181" s="97" t="s">
        <v>129</v>
      </c>
      <c r="H181" s="97">
        <v>0</v>
      </c>
    </row>
    <row r="182" spans="1:8">
      <c r="A182" s="97" t="s">
        <v>42</v>
      </c>
      <c r="B182" s="97" t="s">
        <v>107</v>
      </c>
      <c r="C182" s="97" t="s">
        <v>16</v>
      </c>
      <c r="D182" s="97">
        <v>0</v>
      </c>
      <c r="E182" s="97">
        <v>0</v>
      </c>
      <c r="F182" s="97">
        <v>0</v>
      </c>
      <c r="G182" s="97" t="s">
        <v>132</v>
      </c>
      <c r="H182" s="97">
        <v>0</v>
      </c>
    </row>
    <row r="183" spans="1:8">
      <c r="A183" s="97" t="s">
        <v>42</v>
      </c>
      <c r="B183" s="97" t="s">
        <v>107</v>
      </c>
      <c r="C183" s="97" t="s">
        <v>16</v>
      </c>
      <c r="D183" s="97">
        <v>0</v>
      </c>
      <c r="E183" s="97">
        <v>0</v>
      </c>
      <c r="F183" s="97">
        <v>0</v>
      </c>
      <c r="G183" s="97" t="s">
        <v>147</v>
      </c>
      <c r="H183" s="97" t="s">
        <v>148</v>
      </c>
    </row>
    <row r="184" spans="1:8">
      <c r="A184" s="97" t="s">
        <v>115</v>
      </c>
      <c r="B184" s="97" t="s">
        <v>107</v>
      </c>
      <c r="C184" s="97" t="s">
        <v>13</v>
      </c>
      <c r="D184" s="97">
        <v>0</v>
      </c>
      <c r="E184" s="97">
        <v>0</v>
      </c>
      <c r="F184" s="97">
        <v>1000</v>
      </c>
      <c r="G184" s="97" t="s">
        <v>24</v>
      </c>
      <c r="H184" s="97" t="s">
        <v>4</v>
      </c>
    </row>
    <row r="185" spans="1:8">
      <c r="A185" s="97" t="s">
        <v>115</v>
      </c>
      <c r="B185" s="97" t="s">
        <v>107</v>
      </c>
      <c r="C185" s="97" t="s">
        <v>13</v>
      </c>
      <c r="D185" s="97">
        <v>0</v>
      </c>
      <c r="E185" s="97">
        <v>0</v>
      </c>
      <c r="F185" s="97">
        <v>1000</v>
      </c>
      <c r="G185" s="97" t="s">
        <v>25</v>
      </c>
      <c r="H185" s="97" t="s">
        <v>4</v>
      </c>
    </row>
    <row r="186" spans="1:8">
      <c r="A186" s="97" t="s">
        <v>115</v>
      </c>
      <c r="B186" s="97" t="s">
        <v>107</v>
      </c>
      <c r="C186" s="97" t="s">
        <v>13</v>
      </c>
      <c r="D186" s="97">
        <v>0</v>
      </c>
      <c r="E186" s="97">
        <v>0</v>
      </c>
      <c r="F186" s="97">
        <v>1000</v>
      </c>
      <c r="G186" s="97" t="s">
        <v>26</v>
      </c>
      <c r="H186" s="97" t="s">
        <v>10</v>
      </c>
    </row>
    <row r="187" spans="1:8">
      <c r="A187" s="97" t="s">
        <v>115</v>
      </c>
      <c r="B187" s="97" t="s">
        <v>107</v>
      </c>
      <c r="C187" s="97" t="s">
        <v>13</v>
      </c>
      <c r="D187" s="97">
        <v>0</v>
      </c>
      <c r="E187" s="97">
        <v>0</v>
      </c>
      <c r="F187" s="97">
        <v>1000</v>
      </c>
      <c r="G187" s="97" t="s">
        <v>27</v>
      </c>
      <c r="H187" s="97" t="s">
        <v>10</v>
      </c>
    </row>
    <row r="188" spans="1:8">
      <c r="A188" s="97" t="s">
        <v>115</v>
      </c>
      <c r="B188" s="97" t="s">
        <v>107</v>
      </c>
      <c r="C188" s="97" t="s">
        <v>13</v>
      </c>
      <c r="D188" s="97">
        <v>0</v>
      </c>
      <c r="E188" s="97">
        <v>0</v>
      </c>
      <c r="F188" s="97">
        <v>1000</v>
      </c>
      <c r="G188" s="97" t="s">
        <v>28</v>
      </c>
      <c r="H188" s="97" t="s">
        <v>4</v>
      </c>
    </row>
    <row r="189" spans="1:8">
      <c r="A189" s="97" t="s">
        <v>115</v>
      </c>
      <c r="B189" s="97" t="s">
        <v>107</v>
      </c>
      <c r="C189" s="97" t="s">
        <v>13</v>
      </c>
      <c r="D189" s="97">
        <v>0</v>
      </c>
      <c r="E189" s="97">
        <v>0</v>
      </c>
      <c r="F189" s="97">
        <v>1000</v>
      </c>
      <c r="G189" s="97" t="s">
        <v>29</v>
      </c>
      <c r="H189" s="97" t="s">
        <v>4</v>
      </c>
    </row>
    <row r="190" spans="1:8">
      <c r="A190" s="97" t="s">
        <v>115</v>
      </c>
      <c r="B190" s="97" t="s">
        <v>107</v>
      </c>
      <c r="C190" s="97" t="s">
        <v>13</v>
      </c>
      <c r="D190" s="97">
        <v>0</v>
      </c>
      <c r="E190" s="97">
        <v>0</v>
      </c>
      <c r="F190" s="97">
        <v>1000</v>
      </c>
      <c r="G190" s="97" t="s">
        <v>30</v>
      </c>
      <c r="H190" s="97" t="s">
        <v>4</v>
      </c>
    </row>
    <row r="191" spans="1:8">
      <c r="A191" s="97" t="s">
        <v>115</v>
      </c>
      <c r="B191" s="97" t="s">
        <v>107</v>
      </c>
      <c r="C191" s="97" t="s">
        <v>13</v>
      </c>
      <c r="D191" s="97">
        <v>0</v>
      </c>
      <c r="E191" s="97">
        <v>0</v>
      </c>
      <c r="F191" s="97">
        <v>1000</v>
      </c>
      <c r="G191" s="97" t="s">
        <v>31</v>
      </c>
      <c r="H191" s="97" t="s">
        <v>4</v>
      </c>
    </row>
    <row r="192" spans="1:8">
      <c r="A192" s="97" t="s">
        <v>115</v>
      </c>
      <c r="B192" s="97" t="s">
        <v>107</v>
      </c>
      <c r="C192" s="97" t="s">
        <v>13</v>
      </c>
      <c r="D192" s="97">
        <v>0</v>
      </c>
      <c r="E192" s="97">
        <v>0</v>
      </c>
      <c r="F192" s="97">
        <v>1000</v>
      </c>
      <c r="G192" s="97" t="s">
        <v>32</v>
      </c>
      <c r="H192" s="97" t="s">
        <v>4</v>
      </c>
    </row>
    <row r="193" spans="1:8">
      <c r="A193" s="97" t="s">
        <v>115</v>
      </c>
      <c r="B193" s="97" t="s">
        <v>107</v>
      </c>
      <c r="C193" s="97" t="s">
        <v>13</v>
      </c>
      <c r="D193" s="97">
        <v>0</v>
      </c>
      <c r="E193" s="97">
        <v>0</v>
      </c>
      <c r="F193" s="97">
        <v>1000</v>
      </c>
      <c r="G193" s="97" t="s">
        <v>33</v>
      </c>
      <c r="H193" s="97" t="s">
        <v>4</v>
      </c>
    </row>
    <row r="194" spans="1:8">
      <c r="A194" s="97" t="s">
        <v>115</v>
      </c>
      <c r="B194" s="97" t="s">
        <v>107</v>
      </c>
      <c r="C194" s="97" t="s">
        <v>13</v>
      </c>
      <c r="D194" s="97">
        <v>0</v>
      </c>
      <c r="E194" s="97">
        <v>0</v>
      </c>
      <c r="F194" s="97">
        <v>1000</v>
      </c>
      <c r="G194" s="97" t="s">
        <v>34</v>
      </c>
      <c r="H194" s="97" t="s">
        <v>4</v>
      </c>
    </row>
    <row r="195" spans="1:8">
      <c r="A195" s="97" t="s">
        <v>115</v>
      </c>
      <c r="B195" s="97" t="s">
        <v>107</v>
      </c>
      <c r="C195" s="97" t="s">
        <v>13</v>
      </c>
      <c r="D195" s="97">
        <v>0</v>
      </c>
      <c r="E195" s="97">
        <v>0</v>
      </c>
      <c r="F195" s="97">
        <v>1000</v>
      </c>
      <c r="G195" s="97" t="s">
        <v>129</v>
      </c>
      <c r="H195" s="97">
        <v>1000</v>
      </c>
    </row>
    <row r="196" spans="1:8">
      <c r="A196" s="97" t="s">
        <v>115</v>
      </c>
      <c r="B196" s="97" t="s">
        <v>107</v>
      </c>
      <c r="C196" s="97" t="s">
        <v>13</v>
      </c>
      <c r="D196" s="97">
        <v>0</v>
      </c>
      <c r="E196" s="97">
        <v>0</v>
      </c>
      <c r="F196" s="97">
        <v>1000</v>
      </c>
      <c r="G196" s="97" t="s">
        <v>132</v>
      </c>
      <c r="H196" s="97">
        <v>2</v>
      </c>
    </row>
    <row r="197" spans="1:8">
      <c r="A197" s="97" t="s">
        <v>115</v>
      </c>
      <c r="B197" s="97" t="s">
        <v>107</v>
      </c>
      <c r="C197" s="97" t="s">
        <v>13</v>
      </c>
      <c r="D197" s="97">
        <v>0</v>
      </c>
      <c r="E197" s="97">
        <v>0</v>
      </c>
      <c r="F197" s="97">
        <v>1000</v>
      </c>
      <c r="G197" s="97" t="s">
        <v>147</v>
      </c>
      <c r="H197" s="97" t="s">
        <v>149</v>
      </c>
    </row>
    <row r="198" spans="1:8">
      <c r="A198" s="97" t="s">
        <v>92</v>
      </c>
      <c r="B198" s="97" t="s">
        <v>106</v>
      </c>
      <c r="C198" s="97" t="s">
        <v>16</v>
      </c>
      <c r="D198" s="97">
        <v>0</v>
      </c>
      <c r="E198" s="97">
        <v>0</v>
      </c>
      <c r="F198" s="97">
        <v>0</v>
      </c>
      <c r="G198" s="97" t="s">
        <v>24</v>
      </c>
      <c r="H198" s="97" t="s">
        <v>4</v>
      </c>
    </row>
    <row r="199" spans="1:8">
      <c r="A199" s="97" t="s">
        <v>92</v>
      </c>
      <c r="B199" s="97" t="s">
        <v>106</v>
      </c>
      <c r="C199" s="97" t="s">
        <v>16</v>
      </c>
      <c r="D199" s="97">
        <v>0</v>
      </c>
      <c r="E199" s="97">
        <v>0</v>
      </c>
      <c r="F199" s="97">
        <v>0</v>
      </c>
      <c r="G199" s="97" t="s">
        <v>25</v>
      </c>
      <c r="H199" s="97" t="s">
        <v>4</v>
      </c>
    </row>
    <row r="200" spans="1:8">
      <c r="A200" s="97" t="s">
        <v>92</v>
      </c>
      <c r="B200" s="97" t="s">
        <v>106</v>
      </c>
      <c r="C200" s="97" t="s">
        <v>16</v>
      </c>
      <c r="D200" s="97">
        <v>0</v>
      </c>
      <c r="E200" s="97">
        <v>0</v>
      </c>
      <c r="F200" s="97">
        <v>0</v>
      </c>
      <c r="G200" s="97" t="s">
        <v>26</v>
      </c>
      <c r="H200" s="97" t="s">
        <v>4</v>
      </c>
    </row>
    <row r="201" spans="1:8">
      <c r="A201" s="97" t="s">
        <v>92</v>
      </c>
      <c r="B201" s="97" t="s">
        <v>106</v>
      </c>
      <c r="C201" s="97" t="s">
        <v>16</v>
      </c>
      <c r="D201" s="97">
        <v>0</v>
      </c>
      <c r="E201" s="97">
        <v>0</v>
      </c>
      <c r="F201" s="97">
        <v>0</v>
      </c>
      <c r="G201" s="97" t="s">
        <v>27</v>
      </c>
      <c r="H201" s="97" t="s">
        <v>4</v>
      </c>
    </row>
    <row r="202" spans="1:8">
      <c r="A202" s="97" t="s">
        <v>92</v>
      </c>
      <c r="B202" s="97" t="s">
        <v>106</v>
      </c>
      <c r="C202" s="97" t="s">
        <v>16</v>
      </c>
      <c r="D202" s="97">
        <v>0</v>
      </c>
      <c r="E202" s="97">
        <v>0</v>
      </c>
      <c r="F202" s="97">
        <v>0</v>
      </c>
      <c r="G202" s="97" t="s">
        <v>28</v>
      </c>
      <c r="H202" s="97" t="s">
        <v>4</v>
      </c>
    </row>
    <row r="203" spans="1:8">
      <c r="A203" s="97" t="s">
        <v>92</v>
      </c>
      <c r="B203" s="97" t="s">
        <v>106</v>
      </c>
      <c r="C203" s="97" t="s">
        <v>16</v>
      </c>
      <c r="D203" s="97">
        <v>0</v>
      </c>
      <c r="E203" s="97">
        <v>0</v>
      </c>
      <c r="F203" s="97">
        <v>0</v>
      </c>
      <c r="G203" s="97" t="s">
        <v>29</v>
      </c>
      <c r="H203" s="97" t="s">
        <v>4</v>
      </c>
    </row>
    <row r="204" spans="1:8">
      <c r="A204" s="97" t="s">
        <v>92</v>
      </c>
      <c r="B204" s="97" t="s">
        <v>106</v>
      </c>
      <c r="C204" s="97" t="s">
        <v>16</v>
      </c>
      <c r="D204" s="97">
        <v>0</v>
      </c>
      <c r="E204" s="97">
        <v>0</v>
      </c>
      <c r="F204" s="97">
        <v>0</v>
      </c>
      <c r="G204" s="97" t="s">
        <v>30</v>
      </c>
      <c r="H204" s="97" t="s">
        <v>4</v>
      </c>
    </row>
    <row r="205" spans="1:8">
      <c r="A205" s="97" t="s">
        <v>92</v>
      </c>
      <c r="B205" s="97" t="s">
        <v>106</v>
      </c>
      <c r="C205" s="97" t="s">
        <v>16</v>
      </c>
      <c r="D205" s="97">
        <v>0</v>
      </c>
      <c r="E205" s="97">
        <v>0</v>
      </c>
      <c r="F205" s="97">
        <v>0</v>
      </c>
      <c r="G205" s="97" t="s">
        <v>31</v>
      </c>
      <c r="H205" s="97" t="s">
        <v>4</v>
      </c>
    </row>
    <row r="206" spans="1:8">
      <c r="A206" s="97" t="s">
        <v>92</v>
      </c>
      <c r="B206" s="97" t="s">
        <v>106</v>
      </c>
      <c r="C206" s="97" t="s">
        <v>16</v>
      </c>
      <c r="D206" s="97">
        <v>0</v>
      </c>
      <c r="E206" s="97">
        <v>0</v>
      </c>
      <c r="F206" s="97">
        <v>0</v>
      </c>
      <c r="G206" s="97" t="s">
        <v>32</v>
      </c>
      <c r="H206" s="97" t="s">
        <v>4</v>
      </c>
    </row>
    <row r="207" spans="1:8">
      <c r="A207" s="97" t="s">
        <v>92</v>
      </c>
      <c r="B207" s="97" t="s">
        <v>106</v>
      </c>
      <c r="C207" s="97" t="s">
        <v>16</v>
      </c>
      <c r="D207" s="97">
        <v>0</v>
      </c>
      <c r="E207" s="97">
        <v>0</v>
      </c>
      <c r="F207" s="97">
        <v>0</v>
      </c>
      <c r="G207" s="97" t="s">
        <v>33</v>
      </c>
      <c r="H207" s="97" t="s">
        <v>4</v>
      </c>
    </row>
    <row r="208" spans="1:8">
      <c r="A208" s="97" t="s">
        <v>92</v>
      </c>
      <c r="B208" s="97" t="s">
        <v>106</v>
      </c>
      <c r="C208" s="97" t="s">
        <v>16</v>
      </c>
      <c r="D208" s="97">
        <v>0</v>
      </c>
      <c r="E208" s="97">
        <v>0</v>
      </c>
      <c r="F208" s="97">
        <v>0</v>
      </c>
      <c r="G208" s="97" t="s">
        <v>34</v>
      </c>
      <c r="H208" s="97" t="s">
        <v>4</v>
      </c>
    </row>
    <row r="209" spans="1:8">
      <c r="A209" s="97" t="s">
        <v>92</v>
      </c>
      <c r="B209" s="97" t="s">
        <v>106</v>
      </c>
      <c r="C209" s="97" t="s">
        <v>16</v>
      </c>
      <c r="D209" s="97">
        <v>0</v>
      </c>
      <c r="E209" s="97">
        <v>0</v>
      </c>
      <c r="F209" s="97">
        <v>0</v>
      </c>
      <c r="G209" s="97" t="s">
        <v>129</v>
      </c>
      <c r="H209" s="97">
        <v>0</v>
      </c>
    </row>
    <row r="210" spans="1:8">
      <c r="A210" s="97" t="s">
        <v>92</v>
      </c>
      <c r="B210" s="97" t="s">
        <v>106</v>
      </c>
      <c r="C210" s="97" t="s">
        <v>16</v>
      </c>
      <c r="D210" s="97">
        <v>0</v>
      </c>
      <c r="E210" s="97">
        <v>0</v>
      </c>
      <c r="F210" s="97">
        <v>0</v>
      </c>
      <c r="G210" s="97" t="s">
        <v>132</v>
      </c>
      <c r="H210" s="97">
        <v>0</v>
      </c>
    </row>
    <row r="211" spans="1:8">
      <c r="A211" s="97" t="s">
        <v>92</v>
      </c>
      <c r="B211" s="97" t="s">
        <v>106</v>
      </c>
      <c r="C211" s="97" t="s">
        <v>16</v>
      </c>
      <c r="D211" s="97">
        <v>0</v>
      </c>
      <c r="E211" s="97">
        <v>0</v>
      </c>
      <c r="F211" s="97">
        <v>0</v>
      </c>
      <c r="G211" s="97" t="s">
        <v>147</v>
      </c>
      <c r="H211" s="97" t="s">
        <v>148</v>
      </c>
    </row>
    <row r="212" spans="1:8">
      <c r="A212" s="97" t="s">
        <v>50</v>
      </c>
      <c r="B212" s="97" t="s">
        <v>107</v>
      </c>
      <c r="C212" s="97" t="s">
        <v>13</v>
      </c>
      <c r="D212" s="97">
        <v>300</v>
      </c>
      <c r="E212" s="97">
        <v>0</v>
      </c>
      <c r="F212" s="97">
        <v>0</v>
      </c>
      <c r="G212" s="97" t="s">
        <v>24</v>
      </c>
      <c r="H212" s="97" t="s">
        <v>4</v>
      </c>
    </row>
    <row r="213" spans="1:8">
      <c r="A213" s="97" t="s">
        <v>50</v>
      </c>
      <c r="B213" s="97" t="s">
        <v>107</v>
      </c>
      <c r="C213" s="97" t="s">
        <v>13</v>
      </c>
      <c r="D213" s="97">
        <v>300</v>
      </c>
      <c r="E213" s="97">
        <v>0</v>
      </c>
      <c r="F213" s="97">
        <v>0</v>
      </c>
      <c r="G213" s="97" t="s">
        <v>25</v>
      </c>
      <c r="H213" s="97" t="s">
        <v>4</v>
      </c>
    </row>
    <row r="214" spans="1:8">
      <c r="A214" s="97" t="s">
        <v>50</v>
      </c>
      <c r="B214" s="97" t="s">
        <v>107</v>
      </c>
      <c r="C214" s="97" t="s">
        <v>13</v>
      </c>
      <c r="D214" s="97">
        <v>300</v>
      </c>
      <c r="E214" s="97">
        <v>0</v>
      </c>
      <c r="F214" s="97">
        <v>0</v>
      </c>
      <c r="G214" s="97" t="s">
        <v>26</v>
      </c>
      <c r="H214" s="97" t="s">
        <v>4</v>
      </c>
    </row>
    <row r="215" spans="1:8">
      <c r="A215" s="97" t="s">
        <v>50</v>
      </c>
      <c r="B215" s="97" t="s">
        <v>107</v>
      </c>
      <c r="C215" s="97" t="s">
        <v>13</v>
      </c>
      <c r="D215" s="97">
        <v>300</v>
      </c>
      <c r="E215" s="97">
        <v>0</v>
      </c>
      <c r="F215" s="97">
        <v>0</v>
      </c>
      <c r="G215" s="97" t="s">
        <v>27</v>
      </c>
      <c r="H215" s="97" t="s">
        <v>4</v>
      </c>
    </row>
    <row r="216" spans="1:8">
      <c r="A216" s="97" t="s">
        <v>50</v>
      </c>
      <c r="B216" s="97" t="s">
        <v>107</v>
      </c>
      <c r="C216" s="97" t="s">
        <v>13</v>
      </c>
      <c r="D216" s="97">
        <v>300</v>
      </c>
      <c r="E216" s="97">
        <v>0</v>
      </c>
      <c r="F216" s="97">
        <v>0</v>
      </c>
      <c r="G216" s="97" t="s">
        <v>28</v>
      </c>
      <c r="H216" s="97" t="s">
        <v>4</v>
      </c>
    </row>
    <row r="217" spans="1:8">
      <c r="A217" s="97" t="s">
        <v>50</v>
      </c>
      <c r="B217" s="97" t="s">
        <v>107</v>
      </c>
      <c r="C217" s="97" t="s">
        <v>13</v>
      </c>
      <c r="D217" s="97">
        <v>300</v>
      </c>
      <c r="E217" s="97">
        <v>0</v>
      </c>
      <c r="F217" s="97">
        <v>0</v>
      </c>
      <c r="G217" s="97" t="s">
        <v>29</v>
      </c>
      <c r="H217" s="97" t="s">
        <v>4</v>
      </c>
    </row>
    <row r="218" spans="1:8">
      <c r="A218" s="97" t="s">
        <v>50</v>
      </c>
      <c r="B218" s="97" t="s">
        <v>107</v>
      </c>
      <c r="C218" s="97" t="s">
        <v>13</v>
      </c>
      <c r="D218" s="97">
        <v>300</v>
      </c>
      <c r="E218" s="97">
        <v>0</v>
      </c>
      <c r="F218" s="97">
        <v>0</v>
      </c>
      <c r="G218" s="97" t="s">
        <v>30</v>
      </c>
      <c r="H218" s="97" t="s">
        <v>4</v>
      </c>
    </row>
    <row r="219" spans="1:8">
      <c r="A219" s="97" t="s">
        <v>50</v>
      </c>
      <c r="B219" s="97" t="s">
        <v>107</v>
      </c>
      <c r="C219" s="97" t="s">
        <v>13</v>
      </c>
      <c r="D219" s="97">
        <v>300</v>
      </c>
      <c r="E219" s="97">
        <v>0</v>
      </c>
      <c r="F219" s="97">
        <v>0</v>
      </c>
      <c r="G219" s="97" t="s">
        <v>31</v>
      </c>
      <c r="H219" s="97" t="s">
        <v>6</v>
      </c>
    </row>
    <row r="220" spans="1:8">
      <c r="A220" s="97" t="s">
        <v>50</v>
      </c>
      <c r="B220" s="97" t="s">
        <v>107</v>
      </c>
      <c r="C220" s="97" t="s">
        <v>13</v>
      </c>
      <c r="D220" s="97">
        <v>300</v>
      </c>
      <c r="E220" s="97">
        <v>0</v>
      </c>
      <c r="F220" s="97">
        <v>0</v>
      </c>
      <c r="G220" s="97" t="s">
        <v>32</v>
      </c>
      <c r="H220" s="97" t="s">
        <v>4</v>
      </c>
    </row>
    <row r="221" spans="1:8">
      <c r="A221" s="97" t="s">
        <v>50</v>
      </c>
      <c r="B221" s="97" t="s">
        <v>107</v>
      </c>
      <c r="C221" s="97" t="s">
        <v>13</v>
      </c>
      <c r="D221" s="97">
        <v>300</v>
      </c>
      <c r="E221" s="97">
        <v>0</v>
      </c>
      <c r="F221" s="97">
        <v>0</v>
      </c>
      <c r="G221" s="97" t="s">
        <v>33</v>
      </c>
      <c r="H221" s="97" t="s">
        <v>4</v>
      </c>
    </row>
    <row r="222" spans="1:8">
      <c r="A222" s="97" t="s">
        <v>50</v>
      </c>
      <c r="B222" s="97" t="s">
        <v>107</v>
      </c>
      <c r="C222" s="97" t="s">
        <v>13</v>
      </c>
      <c r="D222" s="97">
        <v>300</v>
      </c>
      <c r="E222" s="97">
        <v>0</v>
      </c>
      <c r="F222" s="97">
        <v>0</v>
      </c>
      <c r="G222" s="97" t="s">
        <v>34</v>
      </c>
      <c r="H222" s="97" t="s">
        <v>4</v>
      </c>
    </row>
    <row r="223" spans="1:8">
      <c r="A223" s="97" t="s">
        <v>50</v>
      </c>
      <c r="B223" s="97" t="s">
        <v>107</v>
      </c>
      <c r="C223" s="97" t="s">
        <v>13</v>
      </c>
      <c r="D223" s="97">
        <v>300</v>
      </c>
      <c r="E223" s="97">
        <v>0</v>
      </c>
      <c r="F223" s="97">
        <v>0</v>
      </c>
      <c r="G223" s="97" t="s">
        <v>129</v>
      </c>
      <c r="H223" s="97">
        <v>300</v>
      </c>
    </row>
    <row r="224" spans="1:8">
      <c r="A224" s="97" t="s">
        <v>50</v>
      </c>
      <c r="B224" s="97" t="s">
        <v>107</v>
      </c>
      <c r="C224" s="97" t="s">
        <v>13</v>
      </c>
      <c r="D224" s="97">
        <v>300</v>
      </c>
      <c r="E224" s="97">
        <v>0</v>
      </c>
      <c r="F224" s="97">
        <v>0</v>
      </c>
      <c r="G224" s="97" t="s">
        <v>132</v>
      </c>
      <c r="H224" s="97">
        <v>0</v>
      </c>
    </row>
    <row r="225" spans="1:8">
      <c r="A225" s="97" t="s">
        <v>50</v>
      </c>
      <c r="B225" s="97" t="s">
        <v>107</v>
      </c>
      <c r="C225" s="97" t="s">
        <v>13</v>
      </c>
      <c r="D225" s="97">
        <v>300</v>
      </c>
      <c r="E225" s="97">
        <v>0</v>
      </c>
      <c r="F225" s="97">
        <v>0</v>
      </c>
      <c r="G225" s="97" t="s">
        <v>147</v>
      </c>
      <c r="H225" s="97" t="s">
        <v>148</v>
      </c>
    </row>
    <row r="226" spans="1:8">
      <c r="A226" s="97" t="s">
        <v>78</v>
      </c>
      <c r="B226" s="97" t="s">
        <v>106</v>
      </c>
      <c r="C226" s="97" t="s">
        <v>16</v>
      </c>
      <c r="D226" s="97">
        <v>0</v>
      </c>
      <c r="E226" s="97">
        <v>0</v>
      </c>
      <c r="F226" s="97">
        <v>0</v>
      </c>
      <c r="G226" s="97" t="s">
        <v>24</v>
      </c>
      <c r="H226" s="97" t="s">
        <v>4</v>
      </c>
    </row>
    <row r="227" spans="1:8">
      <c r="A227" s="97" t="s">
        <v>78</v>
      </c>
      <c r="B227" s="97" t="s">
        <v>106</v>
      </c>
      <c r="C227" s="97" t="s">
        <v>16</v>
      </c>
      <c r="D227" s="97">
        <v>0</v>
      </c>
      <c r="E227" s="97">
        <v>0</v>
      </c>
      <c r="F227" s="97">
        <v>0</v>
      </c>
      <c r="G227" s="97" t="s">
        <v>25</v>
      </c>
      <c r="H227" s="97" t="s">
        <v>4</v>
      </c>
    </row>
    <row r="228" spans="1:8">
      <c r="A228" s="97" t="s">
        <v>78</v>
      </c>
      <c r="B228" s="97" t="s">
        <v>106</v>
      </c>
      <c r="C228" s="97" t="s">
        <v>16</v>
      </c>
      <c r="D228" s="97">
        <v>0</v>
      </c>
      <c r="E228" s="97">
        <v>0</v>
      </c>
      <c r="F228" s="97">
        <v>0</v>
      </c>
      <c r="G228" s="97" t="s">
        <v>26</v>
      </c>
      <c r="H228" s="97" t="s">
        <v>4</v>
      </c>
    </row>
    <row r="229" spans="1:8">
      <c r="A229" s="97" t="s">
        <v>78</v>
      </c>
      <c r="B229" s="97" t="s">
        <v>106</v>
      </c>
      <c r="C229" s="97" t="s">
        <v>16</v>
      </c>
      <c r="D229" s="97">
        <v>0</v>
      </c>
      <c r="E229" s="97">
        <v>0</v>
      </c>
      <c r="F229" s="97">
        <v>0</v>
      </c>
      <c r="G229" s="97" t="s">
        <v>27</v>
      </c>
      <c r="H229" s="97" t="s">
        <v>4</v>
      </c>
    </row>
    <row r="230" spans="1:8">
      <c r="A230" s="97" t="s">
        <v>78</v>
      </c>
      <c r="B230" s="97" t="s">
        <v>106</v>
      </c>
      <c r="C230" s="97" t="s">
        <v>16</v>
      </c>
      <c r="D230" s="97">
        <v>0</v>
      </c>
      <c r="E230" s="97">
        <v>0</v>
      </c>
      <c r="F230" s="97">
        <v>0</v>
      </c>
      <c r="G230" s="97" t="s">
        <v>28</v>
      </c>
      <c r="H230" s="97" t="s">
        <v>4</v>
      </c>
    </row>
    <row r="231" spans="1:8">
      <c r="A231" s="97" t="s">
        <v>78</v>
      </c>
      <c r="B231" s="97" t="s">
        <v>106</v>
      </c>
      <c r="C231" s="97" t="s">
        <v>16</v>
      </c>
      <c r="D231" s="97">
        <v>0</v>
      </c>
      <c r="E231" s="97">
        <v>0</v>
      </c>
      <c r="F231" s="97">
        <v>0</v>
      </c>
      <c r="G231" s="97" t="s">
        <v>29</v>
      </c>
      <c r="H231" s="97" t="s">
        <v>4</v>
      </c>
    </row>
    <row r="232" spans="1:8">
      <c r="A232" s="97" t="s">
        <v>78</v>
      </c>
      <c r="B232" s="97" t="s">
        <v>106</v>
      </c>
      <c r="C232" s="97" t="s">
        <v>16</v>
      </c>
      <c r="D232" s="97">
        <v>0</v>
      </c>
      <c r="E232" s="97">
        <v>0</v>
      </c>
      <c r="F232" s="97">
        <v>0</v>
      </c>
      <c r="G232" s="97" t="s">
        <v>30</v>
      </c>
      <c r="H232" s="97" t="s">
        <v>4</v>
      </c>
    </row>
    <row r="233" spans="1:8">
      <c r="A233" s="97" t="s">
        <v>78</v>
      </c>
      <c r="B233" s="97" t="s">
        <v>106</v>
      </c>
      <c r="C233" s="97" t="s">
        <v>16</v>
      </c>
      <c r="D233" s="97">
        <v>0</v>
      </c>
      <c r="E233" s="97">
        <v>0</v>
      </c>
      <c r="F233" s="97">
        <v>0</v>
      </c>
      <c r="G233" s="97" t="s">
        <v>31</v>
      </c>
      <c r="H233" s="97" t="s">
        <v>4</v>
      </c>
    </row>
    <row r="234" spans="1:8">
      <c r="A234" s="97" t="s">
        <v>78</v>
      </c>
      <c r="B234" s="97" t="s">
        <v>106</v>
      </c>
      <c r="C234" s="97" t="s">
        <v>16</v>
      </c>
      <c r="D234" s="97">
        <v>0</v>
      </c>
      <c r="E234" s="97">
        <v>0</v>
      </c>
      <c r="F234" s="97">
        <v>0</v>
      </c>
      <c r="G234" s="97" t="s">
        <v>32</v>
      </c>
      <c r="H234" s="97" t="s">
        <v>4</v>
      </c>
    </row>
    <row r="235" spans="1:8">
      <c r="A235" s="97" t="s">
        <v>78</v>
      </c>
      <c r="B235" s="97" t="s">
        <v>106</v>
      </c>
      <c r="C235" s="97" t="s">
        <v>16</v>
      </c>
      <c r="D235" s="97">
        <v>0</v>
      </c>
      <c r="E235" s="97">
        <v>0</v>
      </c>
      <c r="F235" s="97">
        <v>0</v>
      </c>
      <c r="G235" s="97" t="s">
        <v>33</v>
      </c>
      <c r="H235" s="97" t="s">
        <v>4</v>
      </c>
    </row>
    <row r="236" spans="1:8">
      <c r="A236" s="97" t="s">
        <v>78</v>
      </c>
      <c r="B236" s="97" t="s">
        <v>106</v>
      </c>
      <c r="C236" s="97" t="s">
        <v>16</v>
      </c>
      <c r="D236" s="97">
        <v>0</v>
      </c>
      <c r="E236" s="97">
        <v>0</v>
      </c>
      <c r="F236" s="97">
        <v>0</v>
      </c>
      <c r="G236" s="97" t="s">
        <v>34</v>
      </c>
      <c r="H236" s="97" t="s">
        <v>4</v>
      </c>
    </row>
    <row r="237" spans="1:8">
      <c r="A237" s="97" t="s">
        <v>78</v>
      </c>
      <c r="B237" s="97" t="s">
        <v>106</v>
      </c>
      <c r="C237" s="97" t="s">
        <v>16</v>
      </c>
      <c r="D237" s="97">
        <v>0</v>
      </c>
      <c r="E237" s="97">
        <v>0</v>
      </c>
      <c r="F237" s="97">
        <v>0</v>
      </c>
      <c r="G237" s="97" t="s">
        <v>129</v>
      </c>
      <c r="H237" s="97">
        <v>0</v>
      </c>
    </row>
    <row r="238" spans="1:8">
      <c r="A238" s="97" t="s">
        <v>78</v>
      </c>
      <c r="B238" s="97" t="s">
        <v>106</v>
      </c>
      <c r="C238" s="97" t="s">
        <v>16</v>
      </c>
      <c r="D238" s="97">
        <v>0</v>
      </c>
      <c r="E238" s="97">
        <v>0</v>
      </c>
      <c r="F238" s="97">
        <v>0</v>
      </c>
      <c r="G238" s="97" t="s">
        <v>132</v>
      </c>
      <c r="H238" s="97">
        <v>0</v>
      </c>
    </row>
    <row r="239" spans="1:8">
      <c r="A239" s="97" t="s">
        <v>78</v>
      </c>
      <c r="B239" s="97" t="s">
        <v>106</v>
      </c>
      <c r="C239" s="97" t="s">
        <v>16</v>
      </c>
      <c r="D239" s="97">
        <v>0</v>
      </c>
      <c r="E239" s="97">
        <v>0</v>
      </c>
      <c r="F239" s="97">
        <v>0</v>
      </c>
      <c r="G239" s="97" t="s">
        <v>147</v>
      </c>
      <c r="H239" s="97" t="s">
        <v>148</v>
      </c>
    </row>
    <row r="240" spans="1:8">
      <c r="A240" s="97" t="s">
        <v>57</v>
      </c>
      <c r="B240" s="97" t="s">
        <v>106</v>
      </c>
      <c r="C240" s="97" t="s">
        <v>16</v>
      </c>
      <c r="D240" s="97">
        <v>0</v>
      </c>
      <c r="E240" s="97">
        <v>0</v>
      </c>
      <c r="F240" s="97">
        <v>0</v>
      </c>
      <c r="G240" s="97" t="s">
        <v>24</v>
      </c>
      <c r="H240" s="97" t="s">
        <v>4</v>
      </c>
    </row>
    <row r="241" spans="1:8">
      <c r="A241" s="97" t="s">
        <v>57</v>
      </c>
      <c r="B241" s="97" t="s">
        <v>106</v>
      </c>
      <c r="C241" s="97" t="s">
        <v>16</v>
      </c>
      <c r="D241" s="97">
        <v>0</v>
      </c>
      <c r="E241" s="97">
        <v>0</v>
      </c>
      <c r="F241" s="97">
        <v>0</v>
      </c>
      <c r="G241" s="97" t="s">
        <v>25</v>
      </c>
      <c r="H241" s="97" t="s">
        <v>4</v>
      </c>
    </row>
    <row r="242" spans="1:8">
      <c r="A242" s="97" t="s">
        <v>57</v>
      </c>
      <c r="B242" s="97" t="s">
        <v>106</v>
      </c>
      <c r="C242" s="97" t="s">
        <v>16</v>
      </c>
      <c r="D242" s="97">
        <v>0</v>
      </c>
      <c r="E242" s="97">
        <v>0</v>
      </c>
      <c r="F242" s="97">
        <v>0</v>
      </c>
      <c r="G242" s="97" t="s">
        <v>26</v>
      </c>
      <c r="H242" s="97" t="s">
        <v>4</v>
      </c>
    </row>
    <row r="243" spans="1:8">
      <c r="A243" s="97" t="s">
        <v>57</v>
      </c>
      <c r="B243" s="97" t="s">
        <v>106</v>
      </c>
      <c r="C243" s="97" t="s">
        <v>16</v>
      </c>
      <c r="D243" s="97">
        <v>0</v>
      </c>
      <c r="E243" s="97">
        <v>0</v>
      </c>
      <c r="F243" s="97">
        <v>0</v>
      </c>
      <c r="G243" s="97" t="s">
        <v>27</v>
      </c>
      <c r="H243" s="97" t="s">
        <v>4</v>
      </c>
    </row>
    <row r="244" spans="1:8">
      <c r="A244" s="97" t="s">
        <v>57</v>
      </c>
      <c r="B244" s="97" t="s">
        <v>106</v>
      </c>
      <c r="C244" s="97" t="s">
        <v>16</v>
      </c>
      <c r="D244" s="97">
        <v>0</v>
      </c>
      <c r="E244" s="97">
        <v>0</v>
      </c>
      <c r="F244" s="97">
        <v>0</v>
      </c>
      <c r="G244" s="97" t="s">
        <v>28</v>
      </c>
      <c r="H244" s="97" t="s">
        <v>4</v>
      </c>
    </row>
    <row r="245" spans="1:8">
      <c r="A245" s="97" t="s">
        <v>57</v>
      </c>
      <c r="B245" s="97" t="s">
        <v>106</v>
      </c>
      <c r="C245" s="97" t="s">
        <v>16</v>
      </c>
      <c r="D245" s="97">
        <v>0</v>
      </c>
      <c r="E245" s="97">
        <v>0</v>
      </c>
      <c r="F245" s="97">
        <v>0</v>
      </c>
      <c r="G245" s="97" t="s">
        <v>29</v>
      </c>
      <c r="H245" s="97" t="s">
        <v>4</v>
      </c>
    </row>
    <row r="246" spans="1:8">
      <c r="A246" s="97" t="s">
        <v>57</v>
      </c>
      <c r="B246" s="97" t="s">
        <v>106</v>
      </c>
      <c r="C246" s="97" t="s">
        <v>16</v>
      </c>
      <c r="D246" s="97">
        <v>0</v>
      </c>
      <c r="E246" s="97">
        <v>0</v>
      </c>
      <c r="F246" s="97">
        <v>0</v>
      </c>
      <c r="G246" s="97" t="s">
        <v>30</v>
      </c>
      <c r="H246" s="97" t="s">
        <v>4</v>
      </c>
    </row>
    <row r="247" spans="1:8">
      <c r="A247" s="97" t="s">
        <v>57</v>
      </c>
      <c r="B247" s="97" t="s">
        <v>106</v>
      </c>
      <c r="C247" s="97" t="s">
        <v>16</v>
      </c>
      <c r="D247" s="97">
        <v>0</v>
      </c>
      <c r="E247" s="97">
        <v>0</v>
      </c>
      <c r="F247" s="97">
        <v>0</v>
      </c>
      <c r="G247" s="97" t="s">
        <v>31</v>
      </c>
      <c r="H247" s="97" t="s">
        <v>4</v>
      </c>
    </row>
    <row r="248" spans="1:8">
      <c r="A248" s="97" t="s">
        <v>57</v>
      </c>
      <c r="B248" s="97" t="s">
        <v>106</v>
      </c>
      <c r="C248" s="97" t="s">
        <v>16</v>
      </c>
      <c r="D248" s="97">
        <v>0</v>
      </c>
      <c r="E248" s="97">
        <v>0</v>
      </c>
      <c r="F248" s="97">
        <v>0</v>
      </c>
      <c r="G248" s="97" t="s">
        <v>32</v>
      </c>
      <c r="H248" s="97" t="s">
        <v>4</v>
      </c>
    </row>
    <row r="249" spans="1:8">
      <c r="A249" s="97" t="s">
        <v>57</v>
      </c>
      <c r="B249" s="97" t="s">
        <v>106</v>
      </c>
      <c r="C249" s="97" t="s">
        <v>16</v>
      </c>
      <c r="D249" s="97">
        <v>0</v>
      </c>
      <c r="E249" s="97">
        <v>0</v>
      </c>
      <c r="F249" s="97">
        <v>0</v>
      </c>
      <c r="G249" s="97" t="s">
        <v>33</v>
      </c>
      <c r="H249" s="97" t="s">
        <v>4</v>
      </c>
    </row>
    <row r="250" spans="1:8">
      <c r="A250" s="97" t="s">
        <v>57</v>
      </c>
      <c r="B250" s="97" t="s">
        <v>106</v>
      </c>
      <c r="C250" s="97" t="s">
        <v>16</v>
      </c>
      <c r="D250" s="97">
        <v>0</v>
      </c>
      <c r="E250" s="97">
        <v>0</v>
      </c>
      <c r="F250" s="97">
        <v>0</v>
      </c>
      <c r="G250" s="97" t="s">
        <v>34</v>
      </c>
      <c r="H250" s="97" t="s">
        <v>4</v>
      </c>
    </row>
    <row r="251" spans="1:8">
      <c r="A251" s="97" t="s">
        <v>57</v>
      </c>
      <c r="B251" s="97" t="s">
        <v>106</v>
      </c>
      <c r="C251" s="97" t="s">
        <v>16</v>
      </c>
      <c r="D251" s="97">
        <v>0</v>
      </c>
      <c r="E251" s="97">
        <v>0</v>
      </c>
      <c r="F251" s="97">
        <v>0</v>
      </c>
      <c r="G251" s="97" t="s">
        <v>129</v>
      </c>
      <c r="H251" s="97">
        <v>0</v>
      </c>
    </row>
    <row r="252" spans="1:8">
      <c r="A252" s="97" t="s">
        <v>57</v>
      </c>
      <c r="B252" s="97" t="s">
        <v>106</v>
      </c>
      <c r="C252" s="97" t="s">
        <v>16</v>
      </c>
      <c r="D252" s="97">
        <v>0</v>
      </c>
      <c r="E252" s="97">
        <v>0</v>
      </c>
      <c r="F252" s="97">
        <v>0</v>
      </c>
      <c r="G252" s="97" t="s">
        <v>132</v>
      </c>
      <c r="H252" s="97">
        <v>0</v>
      </c>
    </row>
    <row r="253" spans="1:8">
      <c r="A253" s="97" t="s">
        <v>57</v>
      </c>
      <c r="B253" s="97" t="s">
        <v>106</v>
      </c>
      <c r="C253" s="97" t="s">
        <v>16</v>
      </c>
      <c r="D253" s="97">
        <v>0</v>
      </c>
      <c r="E253" s="97">
        <v>0</v>
      </c>
      <c r="F253" s="97">
        <v>0</v>
      </c>
      <c r="G253" s="97" t="s">
        <v>147</v>
      </c>
      <c r="H253" s="97" t="s">
        <v>148</v>
      </c>
    </row>
    <row r="254" spans="1:8">
      <c r="A254" s="97" t="s">
        <v>61</v>
      </c>
      <c r="B254" s="97" t="s">
        <v>106</v>
      </c>
      <c r="C254" s="97" t="s">
        <v>12</v>
      </c>
      <c r="D254" s="97">
        <v>1200</v>
      </c>
      <c r="E254" s="97">
        <v>0</v>
      </c>
      <c r="F254" s="97">
        <v>1500</v>
      </c>
      <c r="G254" s="97" t="s">
        <v>24</v>
      </c>
      <c r="H254" s="97" t="s">
        <v>4</v>
      </c>
    </row>
    <row r="255" spans="1:8">
      <c r="A255" s="97" t="s">
        <v>61</v>
      </c>
      <c r="B255" s="97" t="s">
        <v>106</v>
      </c>
      <c r="C255" s="97" t="s">
        <v>12</v>
      </c>
      <c r="D255" s="97">
        <v>1200</v>
      </c>
      <c r="E255" s="97">
        <v>0</v>
      </c>
      <c r="F255" s="97">
        <v>1500</v>
      </c>
      <c r="G255" s="97" t="s">
        <v>25</v>
      </c>
      <c r="H255" s="97" t="s">
        <v>10</v>
      </c>
    </row>
    <row r="256" spans="1:8">
      <c r="A256" s="97" t="s">
        <v>61</v>
      </c>
      <c r="B256" s="97" t="s">
        <v>106</v>
      </c>
      <c r="C256" s="97" t="s">
        <v>12</v>
      </c>
      <c r="D256" s="97">
        <v>1200</v>
      </c>
      <c r="E256" s="97">
        <v>0</v>
      </c>
      <c r="F256" s="97">
        <v>1500</v>
      </c>
      <c r="G256" s="97" t="s">
        <v>26</v>
      </c>
      <c r="H256" s="97" t="s">
        <v>10</v>
      </c>
    </row>
    <row r="257" spans="1:8">
      <c r="A257" s="97" t="s">
        <v>61</v>
      </c>
      <c r="B257" s="97" t="s">
        <v>106</v>
      </c>
      <c r="C257" s="97" t="s">
        <v>12</v>
      </c>
      <c r="D257" s="97">
        <v>1200</v>
      </c>
      <c r="E257" s="97">
        <v>0</v>
      </c>
      <c r="F257" s="97">
        <v>1500</v>
      </c>
      <c r="G257" s="97" t="s">
        <v>27</v>
      </c>
      <c r="H257" s="97" t="s">
        <v>4</v>
      </c>
    </row>
    <row r="258" spans="1:8">
      <c r="A258" s="97" t="s">
        <v>61</v>
      </c>
      <c r="B258" s="97" t="s">
        <v>106</v>
      </c>
      <c r="C258" s="97" t="s">
        <v>12</v>
      </c>
      <c r="D258" s="97">
        <v>1200</v>
      </c>
      <c r="E258" s="97">
        <v>0</v>
      </c>
      <c r="F258" s="97">
        <v>1500</v>
      </c>
      <c r="G258" s="97" t="s">
        <v>28</v>
      </c>
      <c r="H258" s="97" t="s">
        <v>6</v>
      </c>
    </row>
    <row r="259" spans="1:8">
      <c r="A259" s="97" t="s">
        <v>61</v>
      </c>
      <c r="B259" s="97" t="s">
        <v>106</v>
      </c>
      <c r="C259" s="97" t="s">
        <v>12</v>
      </c>
      <c r="D259" s="97">
        <v>1200</v>
      </c>
      <c r="E259" s="97">
        <v>0</v>
      </c>
      <c r="F259" s="97">
        <v>1500</v>
      </c>
      <c r="G259" s="97" t="s">
        <v>29</v>
      </c>
      <c r="H259" s="97" t="s">
        <v>6</v>
      </c>
    </row>
    <row r="260" spans="1:8">
      <c r="A260" s="97" t="s">
        <v>61</v>
      </c>
      <c r="B260" s="97" t="s">
        <v>106</v>
      </c>
      <c r="C260" s="97" t="s">
        <v>12</v>
      </c>
      <c r="D260" s="97">
        <v>1200</v>
      </c>
      <c r="E260" s="97">
        <v>0</v>
      </c>
      <c r="F260" s="97">
        <v>1500</v>
      </c>
      <c r="G260" s="97" t="s">
        <v>30</v>
      </c>
      <c r="H260" s="97" t="s">
        <v>6</v>
      </c>
    </row>
    <row r="261" spans="1:8">
      <c r="A261" s="97" t="s">
        <v>61</v>
      </c>
      <c r="B261" s="97" t="s">
        <v>106</v>
      </c>
      <c r="C261" s="97" t="s">
        <v>12</v>
      </c>
      <c r="D261" s="97">
        <v>1200</v>
      </c>
      <c r="E261" s="97">
        <v>0</v>
      </c>
      <c r="F261" s="97">
        <v>1500</v>
      </c>
      <c r="G261" s="97" t="s">
        <v>31</v>
      </c>
      <c r="H261" s="97" t="s">
        <v>10</v>
      </c>
    </row>
    <row r="262" spans="1:8">
      <c r="A262" s="97" t="s">
        <v>61</v>
      </c>
      <c r="B262" s="97" t="s">
        <v>106</v>
      </c>
      <c r="C262" s="97" t="s">
        <v>12</v>
      </c>
      <c r="D262" s="97">
        <v>1200</v>
      </c>
      <c r="E262" s="97">
        <v>0</v>
      </c>
      <c r="F262" s="97">
        <v>1500</v>
      </c>
      <c r="G262" s="97" t="s">
        <v>32</v>
      </c>
      <c r="H262" s="97" t="s">
        <v>6</v>
      </c>
    </row>
    <row r="263" spans="1:8">
      <c r="A263" s="97" t="s">
        <v>61</v>
      </c>
      <c r="B263" s="97" t="s">
        <v>106</v>
      </c>
      <c r="C263" s="97" t="s">
        <v>12</v>
      </c>
      <c r="D263" s="97">
        <v>1200</v>
      </c>
      <c r="E263" s="97">
        <v>0</v>
      </c>
      <c r="F263" s="97">
        <v>1500</v>
      </c>
      <c r="G263" s="97" t="s">
        <v>33</v>
      </c>
      <c r="H263" s="97" t="s">
        <v>8</v>
      </c>
    </row>
    <row r="264" spans="1:8">
      <c r="A264" s="97" t="s">
        <v>61</v>
      </c>
      <c r="B264" s="97" t="s">
        <v>106</v>
      </c>
      <c r="C264" s="97" t="s">
        <v>12</v>
      </c>
      <c r="D264" s="97">
        <v>1200</v>
      </c>
      <c r="E264" s="97">
        <v>0</v>
      </c>
      <c r="F264" s="97">
        <v>1500</v>
      </c>
      <c r="G264" s="97" t="s">
        <v>34</v>
      </c>
      <c r="H264" s="97" t="s">
        <v>4</v>
      </c>
    </row>
    <row r="265" spans="1:8">
      <c r="A265" s="97" t="s">
        <v>61</v>
      </c>
      <c r="B265" s="97" t="s">
        <v>106</v>
      </c>
      <c r="C265" s="97" t="s">
        <v>12</v>
      </c>
      <c r="D265" s="97">
        <v>1200</v>
      </c>
      <c r="E265" s="97">
        <v>0</v>
      </c>
      <c r="F265" s="97">
        <v>1500</v>
      </c>
      <c r="G265" s="97" t="s">
        <v>129</v>
      </c>
      <c r="H265" s="97">
        <v>2700</v>
      </c>
    </row>
    <row r="266" spans="1:8">
      <c r="A266" s="97" t="s">
        <v>61</v>
      </c>
      <c r="B266" s="97" t="s">
        <v>106</v>
      </c>
      <c r="C266" s="97" t="s">
        <v>12</v>
      </c>
      <c r="D266" s="97">
        <v>1200</v>
      </c>
      <c r="E266" s="97">
        <v>0</v>
      </c>
      <c r="F266" s="97">
        <v>1500</v>
      </c>
      <c r="G266" s="97" t="s">
        <v>132</v>
      </c>
      <c r="H266" s="97">
        <v>3</v>
      </c>
    </row>
    <row r="267" spans="1:8">
      <c r="A267" s="97" t="s">
        <v>61</v>
      </c>
      <c r="B267" s="97" t="s">
        <v>106</v>
      </c>
      <c r="C267" s="97" t="s">
        <v>12</v>
      </c>
      <c r="D267" s="97">
        <v>1200</v>
      </c>
      <c r="E267" s="97">
        <v>0</v>
      </c>
      <c r="F267" s="97">
        <v>1500</v>
      </c>
      <c r="G267" s="97" t="s">
        <v>147</v>
      </c>
      <c r="H267" s="97" t="s">
        <v>149</v>
      </c>
    </row>
    <row r="268" spans="1:8">
      <c r="A268" s="97" t="s">
        <v>54</v>
      </c>
      <c r="B268" s="97" t="s">
        <v>106</v>
      </c>
      <c r="C268" s="97" t="s">
        <v>12</v>
      </c>
      <c r="D268" s="97">
        <v>300</v>
      </c>
      <c r="E268" s="97">
        <v>0</v>
      </c>
      <c r="F268" s="97">
        <v>1500</v>
      </c>
      <c r="G268" s="97" t="s">
        <v>24</v>
      </c>
      <c r="H268" s="97" t="s">
        <v>4</v>
      </c>
    </row>
    <row r="269" spans="1:8">
      <c r="A269" s="97" t="s">
        <v>54</v>
      </c>
      <c r="B269" s="97" t="s">
        <v>106</v>
      </c>
      <c r="C269" s="97" t="s">
        <v>12</v>
      </c>
      <c r="D269" s="97">
        <v>300</v>
      </c>
      <c r="E269" s="97">
        <v>0</v>
      </c>
      <c r="F269" s="97">
        <v>1500</v>
      </c>
      <c r="G269" s="97" t="s">
        <v>25</v>
      </c>
      <c r="H269" s="97" t="s">
        <v>6</v>
      </c>
    </row>
    <row r="270" spans="1:8">
      <c r="A270" s="97" t="s">
        <v>54</v>
      </c>
      <c r="B270" s="97" t="s">
        <v>106</v>
      </c>
      <c r="C270" s="97" t="s">
        <v>12</v>
      </c>
      <c r="D270" s="97">
        <v>300</v>
      </c>
      <c r="E270" s="97">
        <v>0</v>
      </c>
      <c r="F270" s="97">
        <v>1500</v>
      </c>
      <c r="G270" s="97" t="s">
        <v>26</v>
      </c>
      <c r="H270" s="97" t="s">
        <v>10</v>
      </c>
    </row>
    <row r="271" spans="1:8">
      <c r="A271" s="97" t="s">
        <v>54</v>
      </c>
      <c r="B271" s="97" t="s">
        <v>106</v>
      </c>
      <c r="C271" s="97" t="s">
        <v>12</v>
      </c>
      <c r="D271" s="97">
        <v>300</v>
      </c>
      <c r="E271" s="97">
        <v>0</v>
      </c>
      <c r="F271" s="97">
        <v>1500</v>
      </c>
      <c r="G271" s="97" t="s">
        <v>27</v>
      </c>
      <c r="H271" s="97" t="s">
        <v>8</v>
      </c>
    </row>
    <row r="272" spans="1:8">
      <c r="A272" s="97" t="s">
        <v>54</v>
      </c>
      <c r="B272" s="97" t="s">
        <v>106</v>
      </c>
      <c r="C272" s="97" t="s">
        <v>12</v>
      </c>
      <c r="D272" s="97">
        <v>300</v>
      </c>
      <c r="E272" s="97">
        <v>0</v>
      </c>
      <c r="F272" s="97">
        <v>1500</v>
      </c>
      <c r="G272" s="97" t="s">
        <v>28</v>
      </c>
      <c r="H272" s="97" t="s">
        <v>4</v>
      </c>
    </row>
    <row r="273" spans="1:8">
      <c r="A273" s="97" t="s">
        <v>54</v>
      </c>
      <c r="B273" s="97" t="s">
        <v>106</v>
      </c>
      <c r="C273" s="97" t="s">
        <v>12</v>
      </c>
      <c r="D273" s="97">
        <v>300</v>
      </c>
      <c r="E273" s="97">
        <v>0</v>
      </c>
      <c r="F273" s="97">
        <v>1500</v>
      </c>
      <c r="G273" s="97" t="s">
        <v>29</v>
      </c>
      <c r="H273" s="97" t="s">
        <v>4</v>
      </c>
    </row>
    <row r="274" spans="1:8">
      <c r="A274" s="97" t="s">
        <v>54</v>
      </c>
      <c r="B274" s="97" t="s">
        <v>106</v>
      </c>
      <c r="C274" s="97" t="s">
        <v>12</v>
      </c>
      <c r="D274" s="97">
        <v>300</v>
      </c>
      <c r="E274" s="97">
        <v>0</v>
      </c>
      <c r="F274" s="97">
        <v>1500</v>
      </c>
      <c r="G274" s="97" t="s">
        <v>30</v>
      </c>
      <c r="H274" s="97" t="s">
        <v>10</v>
      </c>
    </row>
    <row r="275" spans="1:8">
      <c r="A275" s="97" t="s">
        <v>54</v>
      </c>
      <c r="B275" s="97" t="s">
        <v>106</v>
      </c>
      <c r="C275" s="97" t="s">
        <v>12</v>
      </c>
      <c r="D275" s="97">
        <v>300</v>
      </c>
      <c r="E275" s="97">
        <v>0</v>
      </c>
      <c r="F275" s="97">
        <v>1500</v>
      </c>
      <c r="G275" s="97" t="s">
        <v>31</v>
      </c>
      <c r="H275" s="97" t="s">
        <v>4</v>
      </c>
    </row>
    <row r="276" spans="1:8">
      <c r="A276" s="97" t="s">
        <v>54</v>
      </c>
      <c r="B276" s="97" t="s">
        <v>106</v>
      </c>
      <c r="C276" s="97" t="s">
        <v>12</v>
      </c>
      <c r="D276" s="97">
        <v>300</v>
      </c>
      <c r="E276" s="97">
        <v>0</v>
      </c>
      <c r="F276" s="97">
        <v>1500</v>
      </c>
      <c r="G276" s="97" t="s">
        <v>32</v>
      </c>
      <c r="H276" s="97" t="s">
        <v>10</v>
      </c>
    </row>
    <row r="277" spans="1:8">
      <c r="A277" s="97" t="s">
        <v>54</v>
      </c>
      <c r="B277" s="97" t="s">
        <v>106</v>
      </c>
      <c r="C277" s="97" t="s">
        <v>12</v>
      </c>
      <c r="D277" s="97">
        <v>300</v>
      </c>
      <c r="E277" s="97">
        <v>0</v>
      </c>
      <c r="F277" s="97">
        <v>1500</v>
      </c>
      <c r="G277" s="97" t="s">
        <v>33</v>
      </c>
      <c r="H277" s="97" t="s">
        <v>4</v>
      </c>
    </row>
    <row r="278" spans="1:8">
      <c r="A278" s="97" t="s">
        <v>54</v>
      </c>
      <c r="B278" s="97" t="s">
        <v>106</v>
      </c>
      <c r="C278" s="97" t="s">
        <v>12</v>
      </c>
      <c r="D278" s="97">
        <v>300</v>
      </c>
      <c r="E278" s="97">
        <v>0</v>
      </c>
      <c r="F278" s="97">
        <v>1500</v>
      </c>
      <c r="G278" s="97" t="s">
        <v>34</v>
      </c>
      <c r="H278" s="97" t="s">
        <v>4</v>
      </c>
    </row>
    <row r="279" spans="1:8">
      <c r="A279" s="97" t="s">
        <v>54</v>
      </c>
      <c r="B279" s="97" t="s">
        <v>106</v>
      </c>
      <c r="C279" s="97" t="s">
        <v>12</v>
      </c>
      <c r="D279" s="97">
        <v>300</v>
      </c>
      <c r="E279" s="97">
        <v>0</v>
      </c>
      <c r="F279" s="97">
        <v>1500</v>
      </c>
      <c r="G279" s="97" t="s">
        <v>129</v>
      </c>
      <c r="H279" s="97">
        <v>1800</v>
      </c>
    </row>
    <row r="280" spans="1:8">
      <c r="A280" s="97" t="s">
        <v>54</v>
      </c>
      <c r="B280" s="97" t="s">
        <v>106</v>
      </c>
      <c r="C280" s="97" t="s">
        <v>12</v>
      </c>
      <c r="D280" s="97">
        <v>300</v>
      </c>
      <c r="E280" s="97">
        <v>0</v>
      </c>
      <c r="F280" s="97">
        <v>1500</v>
      </c>
      <c r="G280" s="97" t="s">
        <v>132</v>
      </c>
      <c r="H280" s="97">
        <v>3</v>
      </c>
    </row>
    <row r="281" spans="1:8">
      <c r="A281" s="97" t="s">
        <v>54</v>
      </c>
      <c r="B281" s="97" t="s">
        <v>106</v>
      </c>
      <c r="C281" s="97" t="s">
        <v>12</v>
      </c>
      <c r="D281" s="97">
        <v>300</v>
      </c>
      <c r="E281" s="97">
        <v>0</v>
      </c>
      <c r="F281" s="97">
        <v>1500</v>
      </c>
      <c r="G281" s="97" t="s">
        <v>147</v>
      </c>
      <c r="H281" s="97" t="s">
        <v>149</v>
      </c>
    </row>
    <row r="282" spans="1:8">
      <c r="A282" s="97" t="s">
        <v>116</v>
      </c>
      <c r="B282" s="97" t="s">
        <v>106</v>
      </c>
      <c r="C282" s="97" t="s">
        <v>16</v>
      </c>
      <c r="D282" s="97">
        <v>0</v>
      </c>
      <c r="E282" s="97">
        <v>0</v>
      </c>
      <c r="F282" s="97">
        <v>0</v>
      </c>
      <c r="G282" s="97" t="s">
        <v>24</v>
      </c>
      <c r="H282" s="97" t="s">
        <v>4</v>
      </c>
    </row>
    <row r="283" spans="1:8">
      <c r="A283" s="97" t="s">
        <v>116</v>
      </c>
      <c r="B283" s="97" t="s">
        <v>106</v>
      </c>
      <c r="C283" s="97" t="s">
        <v>16</v>
      </c>
      <c r="D283" s="97">
        <v>0</v>
      </c>
      <c r="E283" s="97">
        <v>0</v>
      </c>
      <c r="F283" s="97">
        <v>0</v>
      </c>
      <c r="G283" s="97" t="s">
        <v>25</v>
      </c>
      <c r="H283" s="97" t="s">
        <v>4</v>
      </c>
    </row>
    <row r="284" spans="1:8">
      <c r="A284" s="97" t="s">
        <v>116</v>
      </c>
      <c r="B284" s="97" t="s">
        <v>106</v>
      </c>
      <c r="C284" s="97" t="s">
        <v>16</v>
      </c>
      <c r="D284" s="97">
        <v>0</v>
      </c>
      <c r="E284" s="97">
        <v>0</v>
      </c>
      <c r="F284" s="97">
        <v>0</v>
      </c>
      <c r="G284" s="97" t="s">
        <v>26</v>
      </c>
      <c r="H284" s="97" t="s">
        <v>4</v>
      </c>
    </row>
    <row r="285" spans="1:8">
      <c r="A285" s="97" t="s">
        <v>116</v>
      </c>
      <c r="B285" s="97" t="s">
        <v>106</v>
      </c>
      <c r="C285" s="97" t="s">
        <v>16</v>
      </c>
      <c r="D285" s="97">
        <v>0</v>
      </c>
      <c r="E285" s="97">
        <v>0</v>
      </c>
      <c r="F285" s="97">
        <v>0</v>
      </c>
      <c r="G285" s="97" t="s">
        <v>27</v>
      </c>
      <c r="H285" s="97" t="s">
        <v>4</v>
      </c>
    </row>
    <row r="286" spans="1:8">
      <c r="A286" s="97" t="s">
        <v>116</v>
      </c>
      <c r="B286" s="97" t="s">
        <v>106</v>
      </c>
      <c r="C286" s="97" t="s">
        <v>16</v>
      </c>
      <c r="D286" s="97">
        <v>0</v>
      </c>
      <c r="E286" s="97">
        <v>0</v>
      </c>
      <c r="F286" s="97">
        <v>0</v>
      </c>
      <c r="G286" s="97" t="s">
        <v>28</v>
      </c>
      <c r="H286" s="97" t="s">
        <v>4</v>
      </c>
    </row>
    <row r="287" spans="1:8">
      <c r="A287" s="97" t="s">
        <v>116</v>
      </c>
      <c r="B287" s="97" t="s">
        <v>106</v>
      </c>
      <c r="C287" s="97" t="s">
        <v>16</v>
      </c>
      <c r="D287" s="97">
        <v>0</v>
      </c>
      <c r="E287" s="97">
        <v>0</v>
      </c>
      <c r="F287" s="97">
        <v>0</v>
      </c>
      <c r="G287" s="97" t="s">
        <v>29</v>
      </c>
      <c r="H287" s="97" t="s">
        <v>4</v>
      </c>
    </row>
    <row r="288" spans="1:8">
      <c r="A288" s="97" t="s">
        <v>116</v>
      </c>
      <c r="B288" s="97" t="s">
        <v>106</v>
      </c>
      <c r="C288" s="97" t="s">
        <v>16</v>
      </c>
      <c r="D288" s="97">
        <v>0</v>
      </c>
      <c r="E288" s="97">
        <v>0</v>
      </c>
      <c r="F288" s="97">
        <v>0</v>
      </c>
      <c r="G288" s="97" t="s">
        <v>30</v>
      </c>
      <c r="H288" s="97" t="s">
        <v>4</v>
      </c>
    </row>
    <row r="289" spans="1:8">
      <c r="A289" s="97" t="s">
        <v>116</v>
      </c>
      <c r="B289" s="97" t="s">
        <v>106</v>
      </c>
      <c r="C289" s="97" t="s">
        <v>16</v>
      </c>
      <c r="D289" s="97">
        <v>0</v>
      </c>
      <c r="E289" s="97">
        <v>0</v>
      </c>
      <c r="F289" s="97">
        <v>0</v>
      </c>
      <c r="G289" s="97" t="s">
        <v>31</v>
      </c>
      <c r="H289" s="97" t="s">
        <v>4</v>
      </c>
    </row>
    <row r="290" spans="1:8">
      <c r="A290" s="97" t="s">
        <v>116</v>
      </c>
      <c r="B290" s="97" t="s">
        <v>106</v>
      </c>
      <c r="C290" s="97" t="s">
        <v>16</v>
      </c>
      <c r="D290" s="97">
        <v>0</v>
      </c>
      <c r="E290" s="97">
        <v>0</v>
      </c>
      <c r="F290" s="97">
        <v>0</v>
      </c>
      <c r="G290" s="97" t="s">
        <v>32</v>
      </c>
      <c r="H290" s="97" t="s">
        <v>4</v>
      </c>
    </row>
    <row r="291" spans="1:8">
      <c r="A291" s="97" t="s">
        <v>116</v>
      </c>
      <c r="B291" s="97" t="s">
        <v>106</v>
      </c>
      <c r="C291" s="97" t="s">
        <v>16</v>
      </c>
      <c r="D291" s="97">
        <v>0</v>
      </c>
      <c r="E291" s="97">
        <v>0</v>
      </c>
      <c r="F291" s="97">
        <v>0</v>
      </c>
      <c r="G291" s="97" t="s">
        <v>33</v>
      </c>
      <c r="H291" s="97" t="s">
        <v>4</v>
      </c>
    </row>
    <row r="292" spans="1:8">
      <c r="A292" s="97" t="s">
        <v>116</v>
      </c>
      <c r="B292" s="97" t="s">
        <v>106</v>
      </c>
      <c r="C292" s="97" t="s">
        <v>16</v>
      </c>
      <c r="D292" s="97">
        <v>0</v>
      </c>
      <c r="E292" s="97">
        <v>0</v>
      </c>
      <c r="F292" s="97">
        <v>0</v>
      </c>
      <c r="G292" s="97" t="s">
        <v>34</v>
      </c>
      <c r="H292" s="97" t="s">
        <v>4</v>
      </c>
    </row>
    <row r="293" spans="1:8">
      <c r="A293" s="97" t="s">
        <v>116</v>
      </c>
      <c r="B293" s="97" t="s">
        <v>106</v>
      </c>
      <c r="C293" s="97" t="s">
        <v>16</v>
      </c>
      <c r="D293" s="97">
        <v>0</v>
      </c>
      <c r="E293" s="97">
        <v>0</v>
      </c>
      <c r="F293" s="97">
        <v>0</v>
      </c>
      <c r="G293" s="97" t="s">
        <v>129</v>
      </c>
      <c r="H293" s="97">
        <v>0</v>
      </c>
    </row>
    <row r="294" spans="1:8">
      <c r="A294" s="97" t="s">
        <v>116</v>
      </c>
      <c r="B294" s="97" t="s">
        <v>106</v>
      </c>
      <c r="C294" s="97" t="s">
        <v>16</v>
      </c>
      <c r="D294" s="97">
        <v>0</v>
      </c>
      <c r="E294" s="97">
        <v>0</v>
      </c>
      <c r="F294" s="97">
        <v>0</v>
      </c>
      <c r="G294" s="97" t="s">
        <v>132</v>
      </c>
      <c r="H294" s="97">
        <v>0</v>
      </c>
    </row>
    <row r="295" spans="1:8">
      <c r="A295" s="97" t="s">
        <v>116</v>
      </c>
      <c r="B295" s="97" t="s">
        <v>106</v>
      </c>
      <c r="C295" s="97" t="s">
        <v>16</v>
      </c>
      <c r="D295" s="97">
        <v>0</v>
      </c>
      <c r="E295" s="97">
        <v>0</v>
      </c>
      <c r="F295" s="97">
        <v>0</v>
      </c>
      <c r="G295" s="97" t="s">
        <v>147</v>
      </c>
      <c r="H295" s="97" t="s">
        <v>148</v>
      </c>
    </row>
    <row r="296" spans="1:8">
      <c r="A296" s="97" t="s">
        <v>55</v>
      </c>
      <c r="B296" s="97" t="s">
        <v>106</v>
      </c>
      <c r="C296" s="97" t="s">
        <v>13</v>
      </c>
      <c r="D296" s="97">
        <v>300</v>
      </c>
      <c r="E296" s="97">
        <v>0</v>
      </c>
      <c r="F296" s="97">
        <v>1500</v>
      </c>
      <c r="G296" s="97" t="s">
        <v>24</v>
      </c>
      <c r="H296" s="97" t="s">
        <v>4</v>
      </c>
    </row>
    <row r="297" spans="1:8">
      <c r="A297" s="97" t="s">
        <v>55</v>
      </c>
      <c r="B297" s="97" t="s">
        <v>106</v>
      </c>
      <c r="C297" s="97" t="s">
        <v>13</v>
      </c>
      <c r="D297" s="97">
        <v>300</v>
      </c>
      <c r="E297" s="97">
        <v>0</v>
      </c>
      <c r="F297" s="97">
        <v>1500</v>
      </c>
      <c r="G297" s="97" t="s">
        <v>25</v>
      </c>
      <c r="H297" s="97" t="s">
        <v>6</v>
      </c>
    </row>
    <row r="298" spans="1:8">
      <c r="A298" s="97" t="s">
        <v>55</v>
      </c>
      <c r="B298" s="97" t="s">
        <v>106</v>
      </c>
      <c r="C298" s="97" t="s">
        <v>13</v>
      </c>
      <c r="D298" s="97">
        <v>300</v>
      </c>
      <c r="E298" s="97">
        <v>0</v>
      </c>
      <c r="F298" s="97">
        <v>1500</v>
      </c>
      <c r="G298" s="97" t="s">
        <v>26</v>
      </c>
      <c r="H298" s="97" t="s">
        <v>10</v>
      </c>
    </row>
    <row r="299" spans="1:8">
      <c r="A299" s="97" t="s">
        <v>55</v>
      </c>
      <c r="B299" s="97" t="s">
        <v>106</v>
      </c>
      <c r="C299" s="97" t="s">
        <v>13</v>
      </c>
      <c r="D299" s="97">
        <v>300</v>
      </c>
      <c r="E299" s="97">
        <v>0</v>
      </c>
      <c r="F299" s="97">
        <v>1500</v>
      </c>
      <c r="G299" s="97" t="s">
        <v>27</v>
      </c>
      <c r="H299" s="97" t="s">
        <v>8</v>
      </c>
    </row>
    <row r="300" spans="1:8">
      <c r="A300" s="97" t="s">
        <v>55</v>
      </c>
      <c r="B300" s="97" t="s">
        <v>106</v>
      </c>
      <c r="C300" s="97" t="s">
        <v>13</v>
      </c>
      <c r="D300" s="97">
        <v>300</v>
      </c>
      <c r="E300" s="97">
        <v>0</v>
      </c>
      <c r="F300" s="97">
        <v>1500</v>
      </c>
      <c r="G300" s="97" t="s">
        <v>28</v>
      </c>
      <c r="H300" s="97" t="s">
        <v>4</v>
      </c>
    </row>
    <row r="301" spans="1:8">
      <c r="A301" s="97" t="s">
        <v>55</v>
      </c>
      <c r="B301" s="97" t="s">
        <v>106</v>
      </c>
      <c r="C301" s="97" t="s">
        <v>13</v>
      </c>
      <c r="D301" s="97">
        <v>300</v>
      </c>
      <c r="E301" s="97">
        <v>0</v>
      </c>
      <c r="F301" s="97">
        <v>1500</v>
      </c>
      <c r="G301" s="97" t="s">
        <v>29</v>
      </c>
      <c r="H301" s="97" t="s">
        <v>10</v>
      </c>
    </row>
    <row r="302" spans="1:8">
      <c r="A302" s="97" t="s">
        <v>55</v>
      </c>
      <c r="B302" s="97" t="s">
        <v>106</v>
      </c>
      <c r="C302" s="97" t="s">
        <v>13</v>
      </c>
      <c r="D302" s="97">
        <v>300</v>
      </c>
      <c r="E302" s="97">
        <v>0</v>
      </c>
      <c r="F302" s="97">
        <v>1500</v>
      </c>
      <c r="G302" s="97" t="s">
        <v>30</v>
      </c>
      <c r="H302" s="97" t="s">
        <v>4</v>
      </c>
    </row>
    <row r="303" spans="1:8">
      <c r="A303" s="97" t="s">
        <v>55</v>
      </c>
      <c r="B303" s="97" t="s">
        <v>106</v>
      </c>
      <c r="C303" s="97" t="s">
        <v>13</v>
      </c>
      <c r="D303" s="97">
        <v>300</v>
      </c>
      <c r="E303" s="97">
        <v>0</v>
      </c>
      <c r="F303" s="97">
        <v>1500</v>
      </c>
      <c r="G303" s="97" t="s">
        <v>31</v>
      </c>
      <c r="H303" s="97" t="s">
        <v>10</v>
      </c>
    </row>
    <row r="304" spans="1:8">
      <c r="A304" s="97" t="s">
        <v>55</v>
      </c>
      <c r="B304" s="97" t="s">
        <v>106</v>
      </c>
      <c r="C304" s="97" t="s">
        <v>13</v>
      </c>
      <c r="D304" s="97">
        <v>300</v>
      </c>
      <c r="E304" s="97">
        <v>0</v>
      </c>
      <c r="F304" s="97">
        <v>1500</v>
      </c>
      <c r="G304" s="97" t="s">
        <v>32</v>
      </c>
      <c r="H304" s="97" t="s">
        <v>4</v>
      </c>
    </row>
    <row r="305" spans="1:8">
      <c r="A305" s="97" t="s">
        <v>55</v>
      </c>
      <c r="B305" s="97" t="s">
        <v>106</v>
      </c>
      <c r="C305" s="97" t="s">
        <v>13</v>
      </c>
      <c r="D305" s="97">
        <v>300</v>
      </c>
      <c r="E305" s="97">
        <v>0</v>
      </c>
      <c r="F305" s="97">
        <v>1500</v>
      </c>
      <c r="G305" s="97" t="s">
        <v>33</v>
      </c>
      <c r="H305" s="97" t="s">
        <v>4</v>
      </c>
    </row>
    <row r="306" spans="1:8">
      <c r="A306" s="97" t="s">
        <v>55</v>
      </c>
      <c r="B306" s="97" t="s">
        <v>106</v>
      </c>
      <c r="C306" s="97" t="s">
        <v>13</v>
      </c>
      <c r="D306" s="97">
        <v>300</v>
      </c>
      <c r="E306" s="97">
        <v>0</v>
      </c>
      <c r="F306" s="97">
        <v>1500</v>
      </c>
      <c r="G306" s="97" t="s">
        <v>34</v>
      </c>
      <c r="H306" s="97" t="s">
        <v>4</v>
      </c>
    </row>
    <row r="307" spans="1:8">
      <c r="A307" s="97" t="s">
        <v>55</v>
      </c>
      <c r="B307" s="97" t="s">
        <v>106</v>
      </c>
      <c r="C307" s="97" t="s">
        <v>13</v>
      </c>
      <c r="D307" s="97">
        <v>300</v>
      </c>
      <c r="E307" s="97">
        <v>0</v>
      </c>
      <c r="F307" s="97">
        <v>1500</v>
      </c>
      <c r="G307" s="97" t="s">
        <v>129</v>
      </c>
      <c r="H307" s="97">
        <v>1800</v>
      </c>
    </row>
    <row r="308" spans="1:8">
      <c r="A308" s="97" t="s">
        <v>55</v>
      </c>
      <c r="B308" s="97" t="s">
        <v>106</v>
      </c>
      <c r="C308" s="97" t="s">
        <v>13</v>
      </c>
      <c r="D308" s="97">
        <v>300</v>
      </c>
      <c r="E308" s="97">
        <v>0</v>
      </c>
      <c r="F308" s="97">
        <v>1500</v>
      </c>
      <c r="G308" s="97" t="s">
        <v>132</v>
      </c>
      <c r="H308" s="97">
        <v>3</v>
      </c>
    </row>
    <row r="309" spans="1:8">
      <c r="A309" s="97" t="s">
        <v>55</v>
      </c>
      <c r="B309" s="97" t="s">
        <v>106</v>
      </c>
      <c r="C309" s="97" t="s">
        <v>13</v>
      </c>
      <c r="D309" s="97">
        <v>300</v>
      </c>
      <c r="E309" s="97">
        <v>0</v>
      </c>
      <c r="F309" s="97">
        <v>1500</v>
      </c>
      <c r="G309" s="97" t="s">
        <v>147</v>
      </c>
      <c r="H309" s="97" t="s">
        <v>149</v>
      </c>
    </row>
    <row r="310" spans="1:8">
      <c r="A310" s="97" t="s">
        <v>69</v>
      </c>
      <c r="B310" s="97" t="s">
        <v>107</v>
      </c>
      <c r="C310" s="97" t="s">
        <v>13</v>
      </c>
      <c r="D310" s="97">
        <v>0</v>
      </c>
      <c r="E310" s="97">
        <v>0</v>
      </c>
      <c r="F310" s="97">
        <v>500</v>
      </c>
      <c r="G310" s="97" t="s">
        <v>24</v>
      </c>
      <c r="H310" s="97" t="s">
        <v>4</v>
      </c>
    </row>
    <row r="311" spans="1:8">
      <c r="A311" s="97" t="s">
        <v>69</v>
      </c>
      <c r="B311" s="97" t="s">
        <v>107</v>
      </c>
      <c r="C311" s="97" t="s">
        <v>13</v>
      </c>
      <c r="D311" s="97">
        <v>0</v>
      </c>
      <c r="E311" s="97">
        <v>0</v>
      </c>
      <c r="F311" s="97">
        <v>500</v>
      </c>
      <c r="G311" s="97" t="s">
        <v>25</v>
      </c>
      <c r="H311" s="97" t="s">
        <v>4</v>
      </c>
    </row>
    <row r="312" spans="1:8">
      <c r="A312" s="97" t="s">
        <v>69</v>
      </c>
      <c r="B312" s="97" t="s">
        <v>107</v>
      </c>
      <c r="C312" s="97" t="s">
        <v>13</v>
      </c>
      <c r="D312" s="97">
        <v>0</v>
      </c>
      <c r="E312" s="97">
        <v>0</v>
      </c>
      <c r="F312" s="97">
        <v>500</v>
      </c>
      <c r="G312" s="97" t="s">
        <v>26</v>
      </c>
      <c r="H312" s="97" t="s">
        <v>4</v>
      </c>
    </row>
    <row r="313" spans="1:8">
      <c r="A313" s="97" t="s">
        <v>69</v>
      </c>
      <c r="B313" s="97" t="s">
        <v>107</v>
      </c>
      <c r="C313" s="97" t="s">
        <v>13</v>
      </c>
      <c r="D313" s="97">
        <v>0</v>
      </c>
      <c r="E313" s="97">
        <v>0</v>
      </c>
      <c r="F313" s="97">
        <v>500</v>
      </c>
      <c r="G313" s="97" t="s">
        <v>27</v>
      </c>
      <c r="H313" s="97" t="s">
        <v>4</v>
      </c>
    </row>
    <row r="314" spans="1:8">
      <c r="A314" s="97" t="s">
        <v>69</v>
      </c>
      <c r="B314" s="97" t="s">
        <v>107</v>
      </c>
      <c r="C314" s="97" t="s">
        <v>13</v>
      </c>
      <c r="D314" s="97">
        <v>0</v>
      </c>
      <c r="E314" s="97">
        <v>0</v>
      </c>
      <c r="F314" s="97">
        <v>500</v>
      </c>
      <c r="G314" s="97" t="s">
        <v>28</v>
      </c>
      <c r="H314" s="97" t="s">
        <v>4</v>
      </c>
    </row>
    <row r="315" spans="1:8">
      <c r="A315" s="97" t="s">
        <v>69</v>
      </c>
      <c r="B315" s="97" t="s">
        <v>107</v>
      </c>
      <c r="C315" s="97" t="s">
        <v>13</v>
      </c>
      <c r="D315" s="97">
        <v>0</v>
      </c>
      <c r="E315" s="97">
        <v>0</v>
      </c>
      <c r="F315" s="97">
        <v>500</v>
      </c>
      <c r="G315" s="97" t="s">
        <v>29</v>
      </c>
      <c r="H315" s="97" t="s">
        <v>4</v>
      </c>
    </row>
    <row r="316" spans="1:8">
      <c r="A316" s="97" t="s">
        <v>69</v>
      </c>
      <c r="B316" s="97" t="s">
        <v>107</v>
      </c>
      <c r="C316" s="97" t="s">
        <v>13</v>
      </c>
      <c r="D316" s="97">
        <v>0</v>
      </c>
      <c r="E316" s="97">
        <v>0</v>
      </c>
      <c r="F316" s="97">
        <v>500</v>
      </c>
      <c r="G316" s="97" t="s">
        <v>30</v>
      </c>
      <c r="H316" s="97" t="s">
        <v>4</v>
      </c>
    </row>
    <row r="317" spans="1:8">
      <c r="A317" s="97" t="s">
        <v>69</v>
      </c>
      <c r="B317" s="97" t="s">
        <v>107</v>
      </c>
      <c r="C317" s="97" t="s">
        <v>13</v>
      </c>
      <c r="D317" s="97">
        <v>0</v>
      </c>
      <c r="E317" s="97">
        <v>0</v>
      </c>
      <c r="F317" s="97">
        <v>500</v>
      </c>
      <c r="G317" s="97" t="s">
        <v>31</v>
      </c>
      <c r="H317" s="97" t="s">
        <v>4</v>
      </c>
    </row>
    <row r="318" spans="1:8">
      <c r="A318" s="97" t="s">
        <v>69</v>
      </c>
      <c r="B318" s="97" t="s">
        <v>107</v>
      </c>
      <c r="C318" s="97" t="s">
        <v>13</v>
      </c>
      <c r="D318" s="97">
        <v>0</v>
      </c>
      <c r="E318" s="97">
        <v>0</v>
      </c>
      <c r="F318" s="97">
        <v>500</v>
      </c>
      <c r="G318" s="97" t="s">
        <v>32</v>
      </c>
      <c r="H318" s="97" t="s">
        <v>4</v>
      </c>
    </row>
    <row r="319" spans="1:8">
      <c r="A319" s="97" t="s">
        <v>69</v>
      </c>
      <c r="B319" s="97" t="s">
        <v>107</v>
      </c>
      <c r="C319" s="97" t="s">
        <v>13</v>
      </c>
      <c r="D319" s="97">
        <v>0</v>
      </c>
      <c r="E319" s="97">
        <v>0</v>
      </c>
      <c r="F319" s="97">
        <v>500</v>
      </c>
      <c r="G319" s="97" t="s">
        <v>33</v>
      </c>
      <c r="H319" s="97" t="s">
        <v>10</v>
      </c>
    </row>
    <row r="320" spans="1:8">
      <c r="A320" s="97" t="s">
        <v>69</v>
      </c>
      <c r="B320" s="97" t="s">
        <v>107</v>
      </c>
      <c r="C320" s="97" t="s">
        <v>13</v>
      </c>
      <c r="D320" s="97">
        <v>0</v>
      </c>
      <c r="E320" s="97">
        <v>0</v>
      </c>
      <c r="F320" s="97">
        <v>500</v>
      </c>
      <c r="G320" s="97" t="s">
        <v>34</v>
      </c>
      <c r="H320" s="97" t="s">
        <v>4</v>
      </c>
    </row>
    <row r="321" spans="1:8">
      <c r="A321" s="97" t="s">
        <v>69</v>
      </c>
      <c r="B321" s="97" t="s">
        <v>107</v>
      </c>
      <c r="C321" s="97" t="s">
        <v>13</v>
      </c>
      <c r="D321" s="97">
        <v>0</v>
      </c>
      <c r="E321" s="97">
        <v>0</v>
      </c>
      <c r="F321" s="97">
        <v>500</v>
      </c>
      <c r="G321" s="97" t="s">
        <v>129</v>
      </c>
      <c r="H321" s="97">
        <v>500</v>
      </c>
    </row>
    <row r="322" spans="1:8">
      <c r="A322" s="97" t="s">
        <v>69</v>
      </c>
      <c r="B322" s="97" t="s">
        <v>107</v>
      </c>
      <c r="C322" s="97" t="s">
        <v>13</v>
      </c>
      <c r="D322" s="97">
        <v>0</v>
      </c>
      <c r="E322" s="97">
        <v>0</v>
      </c>
      <c r="F322" s="97">
        <v>500</v>
      </c>
      <c r="G322" s="97" t="s">
        <v>132</v>
      </c>
      <c r="H322" s="97">
        <v>1</v>
      </c>
    </row>
    <row r="323" spans="1:8">
      <c r="A323" s="97" t="s">
        <v>69</v>
      </c>
      <c r="B323" s="97" t="s">
        <v>107</v>
      </c>
      <c r="C323" s="97" t="s">
        <v>13</v>
      </c>
      <c r="D323" s="97">
        <v>0</v>
      </c>
      <c r="E323" s="97">
        <v>0</v>
      </c>
      <c r="F323" s="97">
        <v>500</v>
      </c>
      <c r="G323" s="97" t="s">
        <v>147</v>
      </c>
      <c r="H323" s="97" t="s">
        <v>149</v>
      </c>
    </row>
    <row r="324" spans="1:8">
      <c r="A324" s="97" t="s">
        <v>70</v>
      </c>
      <c r="B324" s="97" t="s">
        <v>106</v>
      </c>
      <c r="C324" s="97" t="s">
        <v>16</v>
      </c>
      <c r="D324" s="97">
        <v>0</v>
      </c>
      <c r="E324" s="97">
        <v>0</v>
      </c>
      <c r="F324" s="97">
        <v>0</v>
      </c>
      <c r="G324" s="97" t="s">
        <v>24</v>
      </c>
      <c r="H324" s="97" t="s">
        <v>4</v>
      </c>
    </row>
    <row r="325" spans="1:8">
      <c r="A325" s="97" t="s">
        <v>70</v>
      </c>
      <c r="B325" s="97" t="s">
        <v>106</v>
      </c>
      <c r="C325" s="97" t="s">
        <v>16</v>
      </c>
      <c r="D325" s="97">
        <v>0</v>
      </c>
      <c r="E325" s="97">
        <v>0</v>
      </c>
      <c r="F325" s="97">
        <v>0</v>
      </c>
      <c r="G325" s="97" t="s">
        <v>25</v>
      </c>
      <c r="H325" s="97" t="s">
        <v>4</v>
      </c>
    </row>
    <row r="326" spans="1:8">
      <c r="A326" s="97" t="s">
        <v>70</v>
      </c>
      <c r="B326" s="97" t="s">
        <v>106</v>
      </c>
      <c r="C326" s="97" t="s">
        <v>16</v>
      </c>
      <c r="D326" s="97">
        <v>0</v>
      </c>
      <c r="E326" s="97">
        <v>0</v>
      </c>
      <c r="F326" s="97">
        <v>0</v>
      </c>
      <c r="G326" s="97" t="s">
        <v>26</v>
      </c>
      <c r="H326" s="97" t="s">
        <v>4</v>
      </c>
    </row>
    <row r="327" spans="1:8">
      <c r="A327" s="97" t="s">
        <v>70</v>
      </c>
      <c r="B327" s="97" t="s">
        <v>106</v>
      </c>
      <c r="C327" s="97" t="s">
        <v>16</v>
      </c>
      <c r="D327" s="97">
        <v>0</v>
      </c>
      <c r="E327" s="97">
        <v>0</v>
      </c>
      <c r="F327" s="97">
        <v>0</v>
      </c>
      <c r="G327" s="97" t="s">
        <v>27</v>
      </c>
      <c r="H327" s="97" t="s">
        <v>4</v>
      </c>
    </row>
    <row r="328" spans="1:8">
      <c r="A328" s="97" t="s">
        <v>70</v>
      </c>
      <c r="B328" s="97" t="s">
        <v>106</v>
      </c>
      <c r="C328" s="97" t="s">
        <v>16</v>
      </c>
      <c r="D328" s="97">
        <v>0</v>
      </c>
      <c r="E328" s="97">
        <v>0</v>
      </c>
      <c r="F328" s="97">
        <v>0</v>
      </c>
      <c r="G328" s="97" t="s">
        <v>28</v>
      </c>
      <c r="H328" s="97" t="s">
        <v>4</v>
      </c>
    </row>
    <row r="329" spans="1:8">
      <c r="A329" s="97" t="s">
        <v>70</v>
      </c>
      <c r="B329" s="97" t="s">
        <v>106</v>
      </c>
      <c r="C329" s="97" t="s">
        <v>16</v>
      </c>
      <c r="D329" s="97">
        <v>0</v>
      </c>
      <c r="E329" s="97">
        <v>0</v>
      </c>
      <c r="F329" s="97">
        <v>0</v>
      </c>
      <c r="G329" s="97" t="s">
        <v>29</v>
      </c>
      <c r="H329" s="97" t="s">
        <v>4</v>
      </c>
    </row>
    <row r="330" spans="1:8">
      <c r="A330" s="97" t="s">
        <v>70</v>
      </c>
      <c r="B330" s="97" t="s">
        <v>106</v>
      </c>
      <c r="C330" s="97" t="s">
        <v>16</v>
      </c>
      <c r="D330" s="97">
        <v>0</v>
      </c>
      <c r="E330" s="97">
        <v>0</v>
      </c>
      <c r="F330" s="97">
        <v>0</v>
      </c>
      <c r="G330" s="97" t="s">
        <v>30</v>
      </c>
      <c r="H330" s="97" t="s">
        <v>4</v>
      </c>
    </row>
    <row r="331" spans="1:8">
      <c r="A331" s="97" t="s">
        <v>70</v>
      </c>
      <c r="B331" s="97" t="s">
        <v>106</v>
      </c>
      <c r="C331" s="97" t="s">
        <v>16</v>
      </c>
      <c r="D331" s="97">
        <v>0</v>
      </c>
      <c r="E331" s="97">
        <v>0</v>
      </c>
      <c r="F331" s="97">
        <v>0</v>
      </c>
      <c r="G331" s="97" t="s">
        <v>31</v>
      </c>
      <c r="H331" s="97" t="s">
        <v>4</v>
      </c>
    </row>
    <row r="332" spans="1:8">
      <c r="A332" s="97" t="s">
        <v>70</v>
      </c>
      <c r="B332" s="97" t="s">
        <v>106</v>
      </c>
      <c r="C332" s="97" t="s">
        <v>16</v>
      </c>
      <c r="D332" s="97">
        <v>0</v>
      </c>
      <c r="E332" s="97">
        <v>0</v>
      </c>
      <c r="F332" s="97">
        <v>0</v>
      </c>
      <c r="G332" s="97" t="s">
        <v>32</v>
      </c>
      <c r="H332" s="97" t="s">
        <v>4</v>
      </c>
    </row>
    <row r="333" spans="1:8">
      <c r="A333" s="97" t="s">
        <v>70</v>
      </c>
      <c r="B333" s="97" t="s">
        <v>106</v>
      </c>
      <c r="C333" s="97" t="s">
        <v>16</v>
      </c>
      <c r="D333" s="97">
        <v>0</v>
      </c>
      <c r="E333" s="97">
        <v>0</v>
      </c>
      <c r="F333" s="97">
        <v>0</v>
      </c>
      <c r="G333" s="97" t="s">
        <v>33</v>
      </c>
      <c r="H333" s="97" t="s">
        <v>4</v>
      </c>
    </row>
    <row r="334" spans="1:8">
      <c r="A334" s="97" t="s">
        <v>70</v>
      </c>
      <c r="B334" s="97" t="s">
        <v>106</v>
      </c>
      <c r="C334" s="97" t="s">
        <v>16</v>
      </c>
      <c r="D334" s="97">
        <v>0</v>
      </c>
      <c r="E334" s="97">
        <v>0</v>
      </c>
      <c r="F334" s="97">
        <v>0</v>
      </c>
      <c r="G334" s="97" t="s">
        <v>34</v>
      </c>
      <c r="H334" s="97" t="s">
        <v>4</v>
      </c>
    </row>
    <row r="335" spans="1:8">
      <c r="A335" s="97" t="s">
        <v>70</v>
      </c>
      <c r="B335" s="97" t="s">
        <v>106</v>
      </c>
      <c r="C335" s="97" t="s">
        <v>16</v>
      </c>
      <c r="D335" s="97">
        <v>0</v>
      </c>
      <c r="E335" s="97">
        <v>0</v>
      </c>
      <c r="F335" s="97">
        <v>0</v>
      </c>
      <c r="G335" s="97" t="s">
        <v>129</v>
      </c>
      <c r="H335" s="97">
        <v>0</v>
      </c>
    </row>
    <row r="336" spans="1:8">
      <c r="A336" s="97" t="s">
        <v>70</v>
      </c>
      <c r="B336" s="97" t="s">
        <v>106</v>
      </c>
      <c r="C336" s="97" t="s">
        <v>16</v>
      </c>
      <c r="D336" s="97">
        <v>0</v>
      </c>
      <c r="E336" s="97">
        <v>0</v>
      </c>
      <c r="F336" s="97">
        <v>0</v>
      </c>
      <c r="G336" s="97" t="s">
        <v>132</v>
      </c>
      <c r="H336" s="97">
        <v>0</v>
      </c>
    </row>
    <row r="337" spans="1:8">
      <c r="A337" s="97" t="s">
        <v>70</v>
      </c>
      <c r="B337" s="97" t="s">
        <v>106</v>
      </c>
      <c r="C337" s="97" t="s">
        <v>16</v>
      </c>
      <c r="D337" s="97">
        <v>0</v>
      </c>
      <c r="E337" s="97">
        <v>0</v>
      </c>
      <c r="F337" s="97">
        <v>0</v>
      </c>
      <c r="G337" s="97" t="s">
        <v>147</v>
      </c>
      <c r="H337" s="97" t="s">
        <v>148</v>
      </c>
    </row>
    <row r="338" spans="1:8">
      <c r="A338" s="97" t="s">
        <v>74</v>
      </c>
      <c r="B338" s="97" t="s">
        <v>106</v>
      </c>
      <c r="C338" s="97" t="s">
        <v>13</v>
      </c>
      <c r="D338" s="97">
        <v>0</v>
      </c>
      <c r="E338" s="97">
        <v>0</v>
      </c>
      <c r="F338" s="97">
        <v>500</v>
      </c>
      <c r="G338" s="97" t="s">
        <v>24</v>
      </c>
      <c r="H338" s="97" t="s">
        <v>4</v>
      </c>
    </row>
    <row r="339" spans="1:8">
      <c r="A339" s="97" t="s">
        <v>74</v>
      </c>
      <c r="B339" s="97" t="s">
        <v>106</v>
      </c>
      <c r="C339" s="97" t="s">
        <v>13</v>
      </c>
      <c r="D339" s="97">
        <v>0</v>
      </c>
      <c r="E339" s="97">
        <v>0</v>
      </c>
      <c r="F339" s="97">
        <v>500</v>
      </c>
      <c r="G339" s="97" t="s">
        <v>25</v>
      </c>
      <c r="H339" s="97" t="s">
        <v>4</v>
      </c>
    </row>
    <row r="340" spans="1:8">
      <c r="A340" s="97" t="s">
        <v>74</v>
      </c>
      <c r="B340" s="97" t="s">
        <v>106</v>
      </c>
      <c r="C340" s="97" t="s">
        <v>13</v>
      </c>
      <c r="D340" s="97">
        <v>0</v>
      </c>
      <c r="E340" s="97">
        <v>0</v>
      </c>
      <c r="F340" s="97">
        <v>500</v>
      </c>
      <c r="G340" s="97" t="s">
        <v>26</v>
      </c>
      <c r="H340" s="97" t="s">
        <v>10</v>
      </c>
    </row>
    <row r="341" spans="1:8">
      <c r="A341" s="97" t="s">
        <v>74</v>
      </c>
      <c r="B341" s="97" t="s">
        <v>106</v>
      </c>
      <c r="C341" s="97" t="s">
        <v>13</v>
      </c>
      <c r="D341" s="97">
        <v>0</v>
      </c>
      <c r="E341" s="97">
        <v>0</v>
      </c>
      <c r="F341" s="97">
        <v>500</v>
      </c>
      <c r="G341" s="97" t="s">
        <v>27</v>
      </c>
      <c r="H341" s="97" t="s">
        <v>4</v>
      </c>
    </row>
    <row r="342" spans="1:8">
      <c r="A342" s="97" t="s">
        <v>74</v>
      </c>
      <c r="B342" s="97" t="s">
        <v>106</v>
      </c>
      <c r="C342" s="97" t="s">
        <v>13</v>
      </c>
      <c r="D342" s="97">
        <v>0</v>
      </c>
      <c r="E342" s="97">
        <v>0</v>
      </c>
      <c r="F342" s="97">
        <v>500</v>
      </c>
      <c r="G342" s="97" t="s">
        <v>28</v>
      </c>
      <c r="H342" s="97" t="s">
        <v>4</v>
      </c>
    </row>
    <row r="343" spans="1:8">
      <c r="A343" s="97" t="s">
        <v>74</v>
      </c>
      <c r="B343" s="97" t="s">
        <v>106</v>
      </c>
      <c r="C343" s="97" t="s">
        <v>13</v>
      </c>
      <c r="D343" s="97">
        <v>0</v>
      </c>
      <c r="E343" s="97">
        <v>0</v>
      </c>
      <c r="F343" s="97">
        <v>500</v>
      </c>
      <c r="G343" s="97" t="s">
        <v>29</v>
      </c>
      <c r="H343" s="97" t="s">
        <v>4</v>
      </c>
    </row>
    <row r="344" spans="1:8">
      <c r="A344" s="97" t="s">
        <v>74</v>
      </c>
      <c r="B344" s="97" t="s">
        <v>106</v>
      </c>
      <c r="C344" s="97" t="s">
        <v>13</v>
      </c>
      <c r="D344" s="97">
        <v>0</v>
      </c>
      <c r="E344" s="97">
        <v>0</v>
      </c>
      <c r="F344" s="97">
        <v>500</v>
      </c>
      <c r="G344" s="97" t="s">
        <v>30</v>
      </c>
      <c r="H344" s="97" t="s">
        <v>4</v>
      </c>
    </row>
    <row r="345" spans="1:8">
      <c r="A345" s="97" t="s">
        <v>74</v>
      </c>
      <c r="B345" s="97" t="s">
        <v>106</v>
      </c>
      <c r="C345" s="97" t="s">
        <v>13</v>
      </c>
      <c r="D345" s="97">
        <v>0</v>
      </c>
      <c r="E345" s="97">
        <v>0</v>
      </c>
      <c r="F345" s="97">
        <v>500</v>
      </c>
      <c r="G345" s="97" t="s">
        <v>31</v>
      </c>
      <c r="H345" s="97" t="s">
        <v>4</v>
      </c>
    </row>
    <row r="346" spans="1:8">
      <c r="A346" s="97" t="s">
        <v>74</v>
      </c>
      <c r="B346" s="97" t="s">
        <v>106</v>
      </c>
      <c r="C346" s="97" t="s">
        <v>13</v>
      </c>
      <c r="D346" s="97">
        <v>0</v>
      </c>
      <c r="E346" s="97">
        <v>0</v>
      </c>
      <c r="F346" s="97">
        <v>500</v>
      </c>
      <c r="G346" s="97" t="s">
        <v>32</v>
      </c>
      <c r="H346" s="97" t="s">
        <v>4</v>
      </c>
    </row>
    <row r="347" spans="1:8">
      <c r="A347" s="97" t="s">
        <v>74</v>
      </c>
      <c r="B347" s="97" t="s">
        <v>106</v>
      </c>
      <c r="C347" s="97" t="s">
        <v>13</v>
      </c>
      <c r="D347" s="97">
        <v>0</v>
      </c>
      <c r="E347" s="97">
        <v>0</v>
      </c>
      <c r="F347" s="97">
        <v>500</v>
      </c>
      <c r="G347" s="97" t="s">
        <v>33</v>
      </c>
      <c r="H347" s="97" t="s">
        <v>4</v>
      </c>
    </row>
    <row r="348" spans="1:8">
      <c r="A348" s="97" t="s">
        <v>74</v>
      </c>
      <c r="B348" s="97" t="s">
        <v>106</v>
      </c>
      <c r="C348" s="97" t="s">
        <v>13</v>
      </c>
      <c r="D348" s="97">
        <v>0</v>
      </c>
      <c r="E348" s="97">
        <v>0</v>
      </c>
      <c r="F348" s="97">
        <v>500</v>
      </c>
      <c r="G348" s="97" t="s">
        <v>34</v>
      </c>
      <c r="H348" s="97" t="s">
        <v>4</v>
      </c>
    </row>
    <row r="349" spans="1:8">
      <c r="A349" s="97" t="s">
        <v>74</v>
      </c>
      <c r="B349" s="97" t="s">
        <v>106</v>
      </c>
      <c r="C349" s="97" t="s">
        <v>13</v>
      </c>
      <c r="D349" s="97">
        <v>0</v>
      </c>
      <c r="E349" s="97">
        <v>0</v>
      </c>
      <c r="F349" s="97">
        <v>500</v>
      </c>
      <c r="G349" s="97" t="s">
        <v>129</v>
      </c>
      <c r="H349" s="97">
        <v>500</v>
      </c>
    </row>
    <row r="350" spans="1:8">
      <c r="A350" s="97" t="s">
        <v>74</v>
      </c>
      <c r="B350" s="97" t="s">
        <v>106</v>
      </c>
      <c r="C350" s="97" t="s">
        <v>13</v>
      </c>
      <c r="D350" s="97">
        <v>0</v>
      </c>
      <c r="E350" s="97">
        <v>0</v>
      </c>
      <c r="F350" s="97">
        <v>500</v>
      </c>
      <c r="G350" s="97" t="s">
        <v>132</v>
      </c>
      <c r="H350" s="97">
        <v>1</v>
      </c>
    </row>
    <row r="351" spans="1:8">
      <c r="A351" s="97" t="s">
        <v>74</v>
      </c>
      <c r="B351" s="97" t="s">
        <v>106</v>
      </c>
      <c r="C351" s="97" t="s">
        <v>13</v>
      </c>
      <c r="D351" s="97">
        <v>0</v>
      </c>
      <c r="E351" s="97">
        <v>0</v>
      </c>
      <c r="F351" s="97">
        <v>500</v>
      </c>
      <c r="G351" s="97" t="s">
        <v>147</v>
      </c>
      <c r="H351" s="97" t="s">
        <v>149</v>
      </c>
    </row>
    <row r="352" spans="1:8">
      <c r="A352" s="97" t="s">
        <v>71</v>
      </c>
      <c r="B352" s="97" t="s">
        <v>106</v>
      </c>
      <c r="C352" s="97" t="s">
        <v>12</v>
      </c>
      <c r="D352" s="97">
        <v>0</v>
      </c>
      <c r="E352" s="97">
        <v>0</v>
      </c>
      <c r="F352" s="97">
        <v>1000</v>
      </c>
      <c r="G352" s="97" t="s">
        <v>24</v>
      </c>
      <c r="H352" s="97" t="s">
        <v>4</v>
      </c>
    </row>
    <row r="353" spans="1:8">
      <c r="A353" s="97" t="s">
        <v>71</v>
      </c>
      <c r="B353" s="97" t="s">
        <v>106</v>
      </c>
      <c r="C353" s="97" t="s">
        <v>12</v>
      </c>
      <c r="D353" s="97">
        <v>0</v>
      </c>
      <c r="E353" s="97">
        <v>0</v>
      </c>
      <c r="F353" s="97">
        <v>1000</v>
      </c>
      <c r="G353" s="97" t="s">
        <v>25</v>
      </c>
      <c r="H353" s="97" t="s">
        <v>4</v>
      </c>
    </row>
    <row r="354" spans="1:8">
      <c r="A354" s="97" t="s">
        <v>71</v>
      </c>
      <c r="B354" s="97" t="s">
        <v>106</v>
      </c>
      <c r="C354" s="97" t="s">
        <v>12</v>
      </c>
      <c r="D354" s="97">
        <v>0</v>
      </c>
      <c r="E354" s="97">
        <v>0</v>
      </c>
      <c r="F354" s="97">
        <v>1000</v>
      </c>
      <c r="G354" s="97" t="s">
        <v>26</v>
      </c>
      <c r="H354" s="97" t="s">
        <v>4</v>
      </c>
    </row>
    <row r="355" spans="1:8">
      <c r="A355" s="97" t="s">
        <v>71</v>
      </c>
      <c r="B355" s="97" t="s">
        <v>106</v>
      </c>
      <c r="C355" s="97" t="s">
        <v>12</v>
      </c>
      <c r="D355" s="97">
        <v>0</v>
      </c>
      <c r="E355" s="97">
        <v>0</v>
      </c>
      <c r="F355" s="97">
        <v>1000</v>
      </c>
      <c r="G355" s="97" t="s">
        <v>27</v>
      </c>
      <c r="H355" s="97" t="s">
        <v>10</v>
      </c>
    </row>
    <row r="356" spans="1:8">
      <c r="A356" s="97" t="s">
        <v>71</v>
      </c>
      <c r="B356" s="97" t="s">
        <v>106</v>
      </c>
      <c r="C356" s="97" t="s">
        <v>12</v>
      </c>
      <c r="D356" s="97">
        <v>0</v>
      </c>
      <c r="E356" s="97">
        <v>0</v>
      </c>
      <c r="F356" s="97">
        <v>1000</v>
      </c>
      <c r="G356" s="97" t="s">
        <v>28</v>
      </c>
      <c r="H356" s="97" t="s">
        <v>4</v>
      </c>
    </row>
    <row r="357" spans="1:8">
      <c r="A357" s="97" t="s">
        <v>71</v>
      </c>
      <c r="B357" s="97" t="s">
        <v>106</v>
      </c>
      <c r="C357" s="97" t="s">
        <v>12</v>
      </c>
      <c r="D357" s="97">
        <v>0</v>
      </c>
      <c r="E357" s="97">
        <v>0</v>
      </c>
      <c r="F357" s="97">
        <v>1000</v>
      </c>
      <c r="G357" s="97" t="s">
        <v>29</v>
      </c>
      <c r="H357" s="97" t="s">
        <v>4</v>
      </c>
    </row>
    <row r="358" spans="1:8">
      <c r="A358" s="97" t="s">
        <v>71</v>
      </c>
      <c r="B358" s="97" t="s">
        <v>106</v>
      </c>
      <c r="C358" s="97" t="s">
        <v>12</v>
      </c>
      <c r="D358" s="97">
        <v>0</v>
      </c>
      <c r="E358" s="97">
        <v>0</v>
      </c>
      <c r="F358" s="97">
        <v>1000</v>
      </c>
      <c r="G358" s="97" t="s">
        <v>30</v>
      </c>
      <c r="H358" s="97" t="s">
        <v>4</v>
      </c>
    </row>
    <row r="359" spans="1:8">
      <c r="A359" s="97" t="s">
        <v>71</v>
      </c>
      <c r="B359" s="97" t="s">
        <v>106</v>
      </c>
      <c r="C359" s="97" t="s">
        <v>12</v>
      </c>
      <c r="D359" s="97">
        <v>0</v>
      </c>
      <c r="E359" s="97">
        <v>0</v>
      </c>
      <c r="F359" s="97">
        <v>1000</v>
      </c>
      <c r="G359" s="97" t="s">
        <v>31</v>
      </c>
      <c r="H359" s="97" t="s">
        <v>10</v>
      </c>
    </row>
    <row r="360" spans="1:8">
      <c r="A360" s="97" t="s">
        <v>71</v>
      </c>
      <c r="B360" s="97" t="s">
        <v>106</v>
      </c>
      <c r="C360" s="97" t="s">
        <v>12</v>
      </c>
      <c r="D360" s="97">
        <v>0</v>
      </c>
      <c r="E360" s="97">
        <v>0</v>
      </c>
      <c r="F360" s="97">
        <v>1000</v>
      </c>
      <c r="G360" s="97" t="s">
        <v>32</v>
      </c>
      <c r="H360" s="97" t="s">
        <v>4</v>
      </c>
    </row>
    <row r="361" spans="1:8">
      <c r="A361" s="97" t="s">
        <v>71</v>
      </c>
      <c r="B361" s="97" t="s">
        <v>106</v>
      </c>
      <c r="C361" s="97" t="s">
        <v>12</v>
      </c>
      <c r="D361" s="97">
        <v>0</v>
      </c>
      <c r="E361" s="97">
        <v>0</v>
      </c>
      <c r="F361" s="97">
        <v>1000</v>
      </c>
      <c r="G361" s="97" t="s">
        <v>33</v>
      </c>
      <c r="H361" s="97" t="s">
        <v>4</v>
      </c>
    </row>
    <row r="362" spans="1:8">
      <c r="A362" s="97" t="s">
        <v>71</v>
      </c>
      <c r="B362" s="97" t="s">
        <v>106</v>
      </c>
      <c r="C362" s="97" t="s">
        <v>12</v>
      </c>
      <c r="D362" s="97">
        <v>0</v>
      </c>
      <c r="E362" s="97">
        <v>0</v>
      </c>
      <c r="F362" s="97">
        <v>1000</v>
      </c>
      <c r="G362" s="97" t="s">
        <v>34</v>
      </c>
      <c r="H362" s="97" t="s">
        <v>4</v>
      </c>
    </row>
    <row r="363" spans="1:8">
      <c r="A363" s="97" t="s">
        <v>71</v>
      </c>
      <c r="B363" s="97" t="s">
        <v>106</v>
      </c>
      <c r="C363" s="97" t="s">
        <v>12</v>
      </c>
      <c r="D363" s="97">
        <v>0</v>
      </c>
      <c r="E363" s="97">
        <v>0</v>
      </c>
      <c r="F363" s="97">
        <v>1000</v>
      </c>
      <c r="G363" s="97" t="s">
        <v>129</v>
      </c>
      <c r="H363" s="97">
        <v>1000</v>
      </c>
    </row>
    <row r="364" spans="1:8">
      <c r="A364" s="97" t="s">
        <v>71</v>
      </c>
      <c r="B364" s="97" t="s">
        <v>106</v>
      </c>
      <c r="C364" s="97" t="s">
        <v>12</v>
      </c>
      <c r="D364" s="97">
        <v>0</v>
      </c>
      <c r="E364" s="97">
        <v>0</v>
      </c>
      <c r="F364" s="97">
        <v>1000</v>
      </c>
      <c r="G364" s="97" t="s">
        <v>132</v>
      </c>
      <c r="H364" s="97">
        <v>2</v>
      </c>
    </row>
    <row r="365" spans="1:8">
      <c r="A365" s="97" t="s">
        <v>71</v>
      </c>
      <c r="B365" s="97" t="s">
        <v>106</v>
      </c>
      <c r="C365" s="97" t="s">
        <v>12</v>
      </c>
      <c r="D365" s="97">
        <v>0</v>
      </c>
      <c r="E365" s="97">
        <v>0</v>
      </c>
      <c r="F365" s="97">
        <v>1000</v>
      </c>
      <c r="G365" s="97" t="s">
        <v>147</v>
      </c>
      <c r="H365" s="97" t="s">
        <v>149</v>
      </c>
    </row>
    <row r="366" spans="1:8">
      <c r="A366" s="97" t="s">
        <v>53</v>
      </c>
      <c r="B366" s="97" t="s">
        <v>107</v>
      </c>
      <c r="C366" s="97" t="s">
        <v>12</v>
      </c>
      <c r="D366" s="97">
        <v>600</v>
      </c>
      <c r="E366" s="97">
        <v>0</v>
      </c>
      <c r="F366" s="97">
        <v>500</v>
      </c>
      <c r="G366" s="97" t="s">
        <v>24</v>
      </c>
      <c r="H366" s="97" t="s">
        <v>4</v>
      </c>
    </row>
    <row r="367" spans="1:8">
      <c r="A367" s="97" t="s">
        <v>53</v>
      </c>
      <c r="B367" s="97" t="s">
        <v>107</v>
      </c>
      <c r="C367" s="97" t="s">
        <v>12</v>
      </c>
      <c r="D367" s="97">
        <v>600</v>
      </c>
      <c r="E367" s="97">
        <v>0</v>
      </c>
      <c r="F367" s="97">
        <v>500</v>
      </c>
      <c r="G367" s="97" t="s">
        <v>25</v>
      </c>
      <c r="H367" s="97" t="s">
        <v>4</v>
      </c>
    </row>
    <row r="368" spans="1:8">
      <c r="A368" s="97" t="s">
        <v>53</v>
      </c>
      <c r="B368" s="97" t="s">
        <v>107</v>
      </c>
      <c r="C368" s="97" t="s">
        <v>12</v>
      </c>
      <c r="D368" s="97">
        <v>600</v>
      </c>
      <c r="E368" s="97">
        <v>0</v>
      </c>
      <c r="F368" s="97">
        <v>500</v>
      </c>
      <c r="G368" s="97" t="s">
        <v>26</v>
      </c>
      <c r="H368" s="97" t="s">
        <v>4</v>
      </c>
    </row>
    <row r="369" spans="1:8">
      <c r="A369" s="97" t="s">
        <v>53</v>
      </c>
      <c r="B369" s="97" t="s">
        <v>107</v>
      </c>
      <c r="C369" s="97" t="s">
        <v>12</v>
      </c>
      <c r="D369" s="97">
        <v>600</v>
      </c>
      <c r="E369" s="97">
        <v>0</v>
      </c>
      <c r="F369" s="97">
        <v>500</v>
      </c>
      <c r="G369" s="97" t="s">
        <v>27</v>
      </c>
      <c r="H369" s="97" t="s">
        <v>10</v>
      </c>
    </row>
    <row r="370" spans="1:8">
      <c r="A370" s="97" t="s">
        <v>53</v>
      </c>
      <c r="B370" s="97" t="s">
        <v>107</v>
      </c>
      <c r="C370" s="97" t="s">
        <v>12</v>
      </c>
      <c r="D370" s="97">
        <v>600</v>
      </c>
      <c r="E370" s="97">
        <v>0</v>
      </c>
      <c r="F370" s="97">
        <v>500</v>
      </c>
      <c r="G370" s="97" t="s">
        <v>28</v>
      </c>
      <c r="H370" s="97" t="s">
        <v>6</v>
      </c>
    </row>
    <row r="371" spans="1:8">
      <c r="A371" s="97" t="s">
        <v>53</v>
      </c>
      <c r="B371" s="97" t="s">
        <v>107</v>
      </c>
      <c r="C371" s="97" t="s">
        <v>12</v>
      </c>
      <c r="D371" s="97">
        <v>600</v>
      </c>
      <c r="E371" s="97">
        <v>0</v>
      </c>
      <c r="F371" s="97">
        <v>500</v>
      </c>
      <c r="G371" s="97" t="s">
        <v>29</v>
      </c>
      <c r="H371" s="97" t="s">
        <v>4</v>
      </c>
    </row>
    <row r="372" spans="1:8">
      <c r="A372" s="97" t="s">
        <v>53</v>
      </c>
      <c r="B372" s="97" t="s">
        <v>107</v>
      </c>
      <c r="C372" s="97" t="s">
        <v>12</v>
      </c>
      <c r="D372" s="97">
        <v>600</v>
      </c>
      <c r="E372" s="97">
        <v>0</v>
      </c>
      <c r="F372" s="97">
        <v>500</v>
      </c>
      <c r="G372" s="97" t="s">
        <v>30</v>
      </c>
      <c r="H372" s="97" t="s">
        <v>4</v>
      </c>
    </row>
    <row r="373" spans="1:8">
      <c r="A373" s="97" t="s">
        <v>53</v>
      </c>
      <c r="B373" s="97" t="s">
        <v>107</v>
      </c>
      <c r="C373" s="97" t="s">
        <v>12</v>
      </c>
      <c r="D373" s="97">
        <v>600</v>
      </c>
      <c r="E373" s="97">
        <v>0</v>
      </c>
      <c r="F373" s="97">
        <v>500</v>
      </c>
      <c r="G373" s="97" t="s">
        <v>31</v>
      </c>
      <c r="H373" s="97" t="s">
        <v>4</v>
      </c>
    </row>
    <row r="374" spans="1:8">
      <c r="A374" s="97" t="s">
        <v>53</v>
      </c>
      <c r="B374" s="97" t="s">
        <v>107</v>
      </c>
      <c r="C374" s="97" t="s">
        <v>12</v>
      </c>
      <c r="D374" s="97">
        <v>600</v>
      </c>
      <c r="E374" s="97">
        <v>0</v>
      </c>
      <c r="F374" s="97">
        <v>500</v>
      </c>
      <c r="G374" s="97" t="s">
        <v>32</v>
      </c>
      <c r="H374" s="97" t="s">
        <v>4</v>
      </c>
    </row>
    <row r="375" spans="1:8">
      <c r="A375" s="97" t="s">
        <v>53</v>
      </c>
      <c r="B375" s="97" t="s">
        <v>107</v>
      </c>
      <c r="C375" s="97" t="s">
        <v>12</v>
      </c>
      <c r="D375" s="97">
        <v>600</v>
      </c>
      <c r="E375" s="97">
        <v>0</v>
      </c>
      <c r="F375" s="97">
        <v>500</v>
      </c>
      <c r="G375" s="97" t="s">
        <v>33</v>
      </c>
      <c r="H375" s="97" t="s">
        <v>4</v>
      </c>
    </row>
    <row r="376" spans="1:8">
      <c r="A376" s="97" t="s">
        <v>53</v>
      </c>
      <c r="B376" s="97" t="s">
        <v>107</v>
      </c>
      <c r="C376" s="97" t="s">
        <v>12</v>
      </c>
      <c r="D376" s="97">
        <v>600</v>
      </c>
      <c r="E376" s="97">
        <v>0</v>
      </c>
      <c r="F376" s="97">
        <v>500</v>
      </c>
      <c r="G376" s="97" t="s">
        <v>34</v>
      </c>
      <c r="H376" s="97" t="s">
        <v>6</v>
      </c>
    </row>
    <row r="377" spans="1:8">
      <c r="A377" s="97" t="s">
        <v>53</v>
      </c>
      <c r="B377" s="97" t="s">
        <v>107</v>
      </c>
      <c r="C377" s="97" t="s">
        <v>12</v>
      </c>
      <c r="D377" s="97">
        <v>600</v>
      </c>
      <c r="E377" s="97">
        <v>0</v>
      </c>
      <c r="F377" s="97">
        <v>500</v>
      </c>
      <c r="G377" s="97" t="s">
        <v>129</v>
      </c>
      <c r="H377" s="97">
        <v>1100</v>
      </c>
    </row>
    <row r="378" spans="1:8">
      <c r="A378" s="97" t="s">
        <v>53</v>
      </c>
      <c r="B378" s="97" t="s">
        <v>107</v>
      </c>
      <c r="C378" s="97" t="s">
        <v>12</v>
      </c>
      <c r="D378" s="97">
        <v>600</v>
      </c>
      <c r="E378" s="97">
        <v>0</v>
      </c>
      <c r="F378" s="97">
        <v>500</v>
      </c>
      <c r="G378" s="97" t="s">
        <v>132</v>
      </c>
      <c r="H378" s="97">
        <v>1</v>
      </c>
    </row>
    <row r="379" spans="1:8">
      <c r="A379" s="97" t="s">
        <v>53</v>
      </c>
      <c r="B379" s="97" t="s">
        <v>107</v>
      </c>
      <c r="C379" s="97" t="s">
        <v>12</v>
      </c>
      <c r="D379" s="97">
        <v>600</v>
      </c>
      <c r="E379" s="97">
        <v>0</v>
      </c>
      <c r="F379" s="97">
        <v>500</v>
      </c>
      <c r="G379" s="97" t="s">
        <v>147</v>
      </c>
      <c r="H379" s="97" t="s">
        <v>149</v>
      </c>
    </row>
    <row r="380" spans="1:8">
      <c r="A380" s="97" t="s">
        <v>64</v>
      </c>
      <c r="B380" s="97" t="s">
        <v>107</v>
      </c>
      <c r="C380" s="97" t="s">
        <v>13</v>
      </c>
      <c r="D380" s="97">
        <v>0</v>
      </c>
      <c r="E380" s="97">
        <v>0</v>
      </c>
      <c r="F380" s="97">
        <v>2000</v>
      </c>
      <c r="G380" s="97" t="s">
        <v>24</v>
      </c>
      <c r="H380" s="97" t="s">
        <v>10</v>
      </c>
    </row>
    <row r="381" spans="1:8">
      <c r="A381" s="97" t="s">
        <v>64</v>
      </c>
      <c r="B381" s="97" t="s">
        <v>107</v>
      </c>
      <c r="C381" s="97" t="s">
        <v>13</v>
      </c>
      <c r="D381" s="97">
        <v>0</v>
      </c>
      <c r="E381" s="97">
        <v>0</v>
      </c>
      <c r="F381" s="97">
        <v>2000</v>
      </c>
      <c r="G381" s="97" t="s">
        <v>25</v>
      </c>
      <c r="H381" s="97" t="s">
        <v>10</v>
      </c>
    </row>
    <row r="382" spans="1:8">
      <c r="A382" s="97" t="s">
        <v>64</v>
      </c>
      <c r="B382" s="97" t="s">
        <v>107</v>
      </c>
      <c r="C382" s="97" t="s">
        <v>13</v>
      </c>
      <c r="D382" s="97">
        <v>0</v>
      </c>
      <c r="E382" s="97">
        <v>0</v>
      </c>
      <c r="F382" s="97">
        <v>2000</v>
      </c>
      <c r="G382" s="97" t="s">
        <v>26</v>
      </c>
      <c r="H382" s="97" t="s">
        <v>4</v>
      </c>
    </row>
    <row r="383" spans="1:8">
      <c r="A383" s="97" t="s">
        <v>64</v>
      </c>
      <c r="B383" s="97" t="s">
        <v>107</v>
      </c>
      <c r="C383" s="97" t="s">
        <v>13</v>
      </c>
      <c r="D383" s="97">
        <v>0</v>
      </c>
      <c r="E383" s="97">
        <v>0</v>
      </c>
      <c r="F383" s="97">
        <v>2000</v>
      </c>
      <c r="G383" s="97" t="s">
        <v>27</v>
      </c>
      <c r="H383" s="97" t="s">
        <v>4</v>
      </c>
    </row>
    <row r="384" spans="1:8">
      <c r="A384" s="97" t="s">
        <v>64</v>
      </c>
      <c r="B384" s="97" t="s">
        <v>107</v>
      </c>
      <c r="C384" s="97" t="s">
        <v>13</v>
      </c>
      <c r="D384" s="97">
        <v>0</v>
      </c>
      <c r="E384" s="97">
        <v>0</v>
      </c>
      <c r="F384" s="97">
        <v>2000</v>
      </c>
      <c r="G384" s="97" t="s">
        <v>28</v>
      </c>
      <c r="H384" s="97" t="s">
        <v>4</v>
      </c>
    </row>
    <row r="385" spans="1:8">
      <c r="A385" s="97" t="s">
        <v>64</v>
      </c>
      <c r="B385" s="97" t="s">
        <v>107</v>
      </c>
      <c r="C385" s="97" t="s">
        <v>13</v>
      </c>
      <c r="D385" s="97">
        <v>0</v>
      </c>
      <c r="E385" s="97">
        <v>0</v>
      </c>
      <c r="F385" s="97">
        <v>2000</v>
      </c>
      <c r="G385" s="97" t="s">
        <v>29</v>
      </c>
      <c r="H385" s="97" t="s">
        <v>10</v>
      </c>
    </row>
    <row r="386" spans="1:8">
      <c r="A386" s="97" t="s">
        <v>64</v>
      </c>
      <c r="B386" s="97" t="s">
        <v>107</v>
      </c>
      <c r="C386" s="97" t="s">
        <v>13</v>
      </c>
      <c r="D386" s="97">
        <v>0</v>
      </c>
      <c r="E386" s="97">
        <v>0</v>
      </c>
      <c r="F386" s="97">
        <v>2000</v>
      </c>
      <c r="G386" s="97" t="s">
        <v>30</v>
      </c>
      <c r="H386" s="97" t="s">
        <v>4</v>
      </c>
    </row>
    <row r="387" spans="1:8">
      <c r="A387" s="97" t="s">
        <v>64</v>
      </c>
      <c r="B387" s="97" t="s">
        <v>107</v>
      </c>
      <c r="C387" s="97" t="s">
        <v>13</v>
      </c>
      <c r="D387" s="97">
        <v>0</v>
      </c>
      <c r="E387" s="97">
        <v>0</v>
      </c>
      <c r="F387" s="97">
        <v>2000</v>
      </c>
      <c r="G387" s="97" t="s">
        <v>31</v>
      </c>
      <c r="H387" s="97" t="s">
        <v>4</v>
      </c>
    </row>
    <row r="388" spans="1:8">
      <c r="A388" s="97" t="s">
        <v>64</v>
      </c>
      <c r="B388" s="97" t="s">
        <v>107</v>
      </c>
      <c r="C388" s="97" t="s">
        <v>13</v>
      </c>
      <c r="D388" s="97">
        <v>0</v>
      </c>
      <c r="E388" s="97">
        <v>0</v>
      </c>
      <c r="F388" s="97">
        <v>2000</v>
      </c>
      <c r="G388" s="97" t="s">
        <v>32</v>
      </c>
      <c r="H388" s="97" t="s">
        <v>10</v>
      </c>
    </row>
    <row r="389" spans="1:8">
      <c r="A389" s="97" t="s">
        <v>64</v>
      </c>
      <c r="B389" s="97" t="s">
        <v>107</v>
      </c>
      <c r="C389" s="97" t="s">
        <v>13</v>
      </c>
      <c r="D389" s="97">
        <v>0</v>
      </c>
      <c r="E389" s="97">
        <v>0</v>
      </c>
      <c r="F389" s="97">
        <v>2000</v>
      </c>
      <c r="G389" s="97" t="s">
        <v>33</v>
      </c>
      <c r="H389" s="97" t="s">
        <v>4</v>
      </c>
    </row>
    <row r="390" spans="1:8">
      <c r="A390" s="97" t="s">
        <v>64</v>
      </c>
      <c r="B390" s="97" t="s">
        <v>107</v>
      </c>
      <c r="C390" s="97" t="s">
        <v>13</v>
      </c>
      <c r="D390" s="97">
        <v>0</v>
      </c>
      <c r="E390" s="97">
        <v>0</v>
      </c>
      <c r="F390" s="97">
        <v>2000</v>
      </c>
      <c r="G390" s="97" t="s">
        <v>34</v>
      </c>
      <c r="H390" s="97" t="s">
        <v>4</v>
      </c>
    </row>
    <row r="391" spans="1:8">
      <c r="A391" s="97" t="s">
        <v>64</v>
      </c>
      <c r="B391" s="97" t="s">
        <v>107</v>
      </c>
      <c r="C391" s="97" t="s">
        <v>13</v>
      </c>
      <c r="D391" s="97">
        <v>0</v>
      </c>
      <c r="E391" s="97">
        <v>0</v>
      </c>
      <c r="F391" s="97">
        <v>2000</v>
      </c>
      <c r="G391" s="97" t="s">
        <v>129</v>
      </c>
      <c r="H391" s="97">
        <v>2000</v>
      </c>
    </row>
    <row r="392" spans="1:8">
      <c r="A392" s="97" t="s">
        <v>64</v>
      </c>
      <c r="B392" s="97" t="s">
        <v>107</v>
      </c>
      <c r="C392" s="97" t="s">
        <v>13</v>
      </c>
      <c r="D392" s="97">
        <v>0</v>
      </c>
      <c r="E392" s="97">
        <v>0</v>
      </c>
      <c r="F392" s="97">
        <v>2000</v>
      </c>
      <c r="G392" s="97" t="s">
        <v>132</v>
      </c>
      <c r="H392" s="97">
        <v>4</v>
      </c>
    </row>
    <row r="393" spans="1:8">
      <c r="A393" s="97" t="s">
        <v>64</v>
      </c>
      <c r="B393" s="97" t="s">
        <v>107</v>
      </c>
      <c r="C393" s="97" t="s">
        <v>13</v>
      </c>
      <c r="D393" s="97">
        <v>0</v>
      </c>
      <c r="E393" s="97">
        <v>0</v>
      </c>
      <c r="F393" s="97">
        <v>2000</v>
      </c>
      <c r="G393" s="97" t="s">
        <v>147</v>
      </c>
      <c r="H393" s="97" t="s">
        <v>149</v>
      </c>
    </row>
    <row r="394" spans="1:8">
      <c r="A394" s="97" t="s">
        <v>103</v>
      </c>
      <c r="B394" s="97" t="s">
        <v>107</v>
      </c>
      <c r="C394" s="97" t="s">
        <v>12</v>
      </c>
      <c r="D394" s="97">
        <v>0</v>
      </c>
      <c r="E394" s="97">
        <v>0</v>
      </c>
      <c r="F394" s="97">
        <v>1000</v>
      </c>
      <c r="G394" s="97" t="s">
        <v>24</v>
      </c>
      <c r="H394" s="97" t="s">
        <v>4</v>
      </c>
    </row>
    <row r="395" spans="1:8">
      <c r="A395" s="97" t="s">
        <v>103</v>
      </c>
      <c r="B395" s="97" t="s">
        <v>107</v>
      </c>
      <c r="C395" s="97" t="s">
        <v>12</v>
      </c>
      <c r="D395" s="97">
        <v>0</v>
      </c>
      <c r="E395" s="97">
        <v>0</v>
      </c>
      <c r="F395" s="97">
        <v>1000</v>
      </c>
      <c r="G395" s="97" t="s">
        <v>25</v>
      </c>
      <c r="H395" s="97" t="s">
        <v>4</v>
      </c>
    </row>
    <row r="396" spans="1:8">
      <c r="A396" s="97" t="s">
        <v>103</v>
      </c>
      <c r="B396" s="97" t="s">
        <v>107</v>
      </c>
      <c r="C396" s="97" t="s">
        <v>12</v>
      </c>
      <c r="D396" s="97">
        <v>0</v>
      </c>
      <c r="E396" s="97">
        <v>0</v>
      </c>
      <c r="F396" s="97">
        <v>1000</v>
      </c>
      <c r="G396" s="97" t="s">
        <v>26</v>
      </c>
      <c r="H396" s="97" t="s">
        <v>4</v>
      </c>
    </row>
    <row r="397" spans="1:8">
      <c r="A397" s="97" t="s">
        <v>103</v>
      </c>
      <c r="B397" s="97" t="s">
        <v>107</v>
      </c>
      <c r="C397" s="97" t="s">
        <v>12</v>
      </c>
      <c r="D397" s="97">
        <v>0</v>
      </c>
      <c r="E397" s="97">
        <v>0</v>
      </c>
      <c r="F397" s="97">
        <v>1000</v>
      </c>
      <c r="G397" s="97" t="s">
        <v>27</v>
      </c>
      <c r="H397" s="97" t="s">
        <v>4</v>
      </c>
    </row>
    <row r="398" spans="1:8">
      <c r="A398" s="97" t="s">
        <v>103</v>
      </c>
      <c r="B398" s="97" t="s">
        <v>107</v>
      </c>
      <c r="C398" s="97" t="s">
        <v>12</v>
      </c>
      <c r="D398" s="97">
        <v>0</v>
      </c>
      <c r="E398" s="97">
        <v>0</v>
      </c>
      <c r="F398" s="97">
        <v>1000</v>
      </c>
      <c r="G398" s="97" t="s">
        <v>28</v>
      </c>
      <c r="H398" s="97" t="s">
        <v>4</v>
      </c>
    </row>
    <row r="399" spans="1:8">
      <c r="A399" s="97" t="s">
        <v>103</v>
      </c>
      <c r="B399" s="97" t="s">
        <v>107</v>
      </c>
      <c r="C399" s="97" t="s">
        <v>12</v>
      </c>
      <c r="D399" s="97">
        <v>0</v>
      </c>
      <c r="E399" s="97">
        <v>0</v>
      </c>
      <c r="F399" s="97">
        <v>1000</v>
      </c>
      <c r="G399" s="97" t="s">
        <v>29</v>
      </c>
      <c r="H399" s="97" t="s">
        <v>4</v>
      </c>
    </row>
    <row r="400" spans="1:8">
      <c r="A400" s="97" t="s">
        <v>103</v>
      </c>
      <c r="B400" s="97" t="s">
        <v>107</v>
      </c>
      <c r="C400" s="97" t="s">
        <v>12</v>
      </c>
      <c r="D400" s="97">
        <v>0</v>
      </c>
      <c r="E400" s="97">
        <v>0</v>
      </c>
      <c r="F400" s="97">
        <v>1000</v>
      </c>
      <c r="G400" s="97" t="s">
        <v>30</v>
      </c>
      <c r="H400" s="97" t="s">
        <v>4</v>
      </c>
    </row>
    <row r="401" spans="1:8">
      <c r="A401" s="97" t="s">
        <v>103</v>
      </c>
      <c r="B401" s="97" t="s">
        <v>107</v>
      </c>
      <c r="C401" s="97" t="s">
        <v>12</v>
      </c>
      <c r="D401" s="97">
        <v>0</v>
      </c>
      <c r="E401" s="97">
        <v>0</v>
      </c>
      <c r="F401" s="97">
        <v>1000</v>
      </c>
      <c r="G401" s="97" t="s">
        <v>31</v>
      </c>
      <c r="H401" s="97" t="s">
        <v>4</v>
      </c>
    </row>
    <row r="402" spans="1:8">
      <c r="A402" s="97" t="s">
        <v>103</v>
      </c>
      <c r="B402" s="97" t="s">
        <v>107</v>
      </c>
      <c r="C402" s="97" t="s">
        <v>12</v>
      </c>
      <c r="D402" s="97">
        <v>0</v>
      </c>
      <c r="E402" s="97">
        <v>0</v>
      </c>
      <c r="F402" s="97">
        <v>1000</v>
      </c>
      <c r="G402" s="97" t="s">
        <v>33</v>
      </c>
      <c r="H402" s="97" t="s">
        <v>10</v>
      </c>
    </row>
    <row r="403" spans="1:8">
      <c r="A403" s="97" t="s">
        <v>103</v>
      </c>
      <c r="B403" s="97" t="s">
        <v>107</v>
      </c>
      <c r="C403" s="97" t="s">
        <v>12</v>
      </c>
      <c r="D403" s="97">
        <v>0</v>
      </c>
      <c r="E403" s="97">
        <v>0</v>
      </c>
      <c r="F403" s="97">
        <v>1000</v>
      </c>
      <c r="G403" s="97" t="s">
        <v>34</v>
      </c>
      <c r="H403" s="97" t="s">
        <v>10</v>
      </c>
    </row>
    <row r="404" spans="1:8">
      <c r="A404" s="97" t="s">
        <v>103</v>
      </c>
      <c r="B404" s="97" t="s">
        <v>107</v>
      </c>
      <c r="C404" s="97" t="s">
        <v>12</v>
      </c>
      <c r="D404" s="97">
        <v>0</v>
      </c>
      <c r="E404" s="97">
        <v>0</v>
      </c>
      <c r="F404" s="97">
        <v>1000</v>
      </c>
      <c r="G404" s="97" t="s">
        <v>129</v>
      </c>
      <c r="H404" s="97">
        <v>1000</v>
      </c>
    </row>
    <row r="405" spans="1:8">
      <c r="A405" s="97" t="s">
        <v>103</v>
      </c>
      <c r="B405" s="97" t="s">
        <v>107</v>
      </c>
      <c r="C405" s="97" t="s">
        <v>12</v>
      </c>
      <c r="D405" s="97">
        <v>0</v>
      </c>
      <c r="E405" s="97">
        <v>0</v>
      </c>
      <c r="F405" s="97">
        <v>1000</v>
      </c>
      <c r="G405" s="97" t="s">
        <v>132</v>
      </c>
      <c r="H405" s="97">
        <v>2</v>
      </c>
    </row>
    <row r="406" spans="1:8">
      <c r="A406" s="97" t="s">
        <v>103</v>
      </c>
      <c r="B406" s="97" t="s">
        <v>107</v>
      </c>
      <c r="C406" s="97" t="s">
        <v>12</v>
      </c>
      <c r="D406" s="97">
        <v>0</v>
      </c>
      <c r="E406" s="97">
        <v>0</v>
      </c>
      <c r="F406" s="97">
        <v>1000</v>
      </c>
      <c r="G406" s="97" t="s">
        <v>147</v>
      </c>
      <c r="H406" s="97" t="s">
        <v>149</v>
      </c>
    </row>
    <row r="407" spans="1:8">
      <c r="A407" s="97" t="s">
        <v>41</v>
      </c>
      <c r="B407" s="97" t="s">
        <v>107</v>
      </c>
      <c r="C407" s="97" t="s">
        <v>12</v>
      </c>
      <c r="D407" s="97">
        <v>0</v>
      </c>
      <c r="E407" s="97">
        <v>0</v>
      </c>
      <c r="F407" s="97">
        <v>1000</v>
      </c>
      <c r="G407" s="97" t="s">
        <v>24</v>
      </c>
      <c r="H407" s="97" t="s">
        <v>4</v>
      </c>
    </row>
    <row r="408" spans="1:8">
      <c r="A408" s="97" t="s">
        <v>41</v>
      </c>
      <c r="B408" s="97" t="s">
        <v>107</v>
      </c>
      <c r="C408" s="97" t="s">
        <v>12</v>
      </c>
      <c r="D408" s="97">
        <v>0</v>
      </c>
      <c r="E408" s="97">
        <v>0</v>
      </c>
      <c r="F408" s="97">
        <v>1000</v>
      </c>
      <c r="G408" s="97" t="s">
        <v>25</v>
      </c>
      <c r="H408" s="97" t="s">
        <v>4</v>
      </c>
    </row>
    <row r="409" spans="1:8">
      <c r="A409" s="97" t="s">
        <v>41</v>
      </c>
      <c r="B409" s="97" t="s">
        <v>107</v>
      </c>
      <c r="C409" s="97" t="s">
        <v>12</v>
      </c>
      <c r="D409" s="97">
        <v>0</v>
      </c>
      <c r="E409" s="97">
        <v>0</v>
      </c>
      <c r="F409" s="97">
        <v>1000</v>
      </c>
      <c r="G409" s="97" t="s">
        <v>26</v>
      </c>
      <c r="H409" s="97" t="s">
        <v>4</v>
      </c>
    </row>
    <row r="410" spans="1:8">
      <c r="A410" s="97" t="s">
        <v>41</v>
      </c>
      <c r="B410" s="97" t="s">
        <v>107</v>
      </c>
      <c r="C410" s="97" t="s">
        <v>12</v>
      </c>
      <c r="D410" s="97">
        <v>0</v>
      </c>
      <c r="E410" s="97">
        <v>0</v>
      </c>
      <c r="F410" s="97">
        <v>1000</v>
      </c>
      <c r="G410" s="97" t="s">
        <v>27</v>
      </c>
      <c r="H410" s="97" t="s">
        <v>4</v>
      </c>
    </row>
    <row r="411" spans="1:8">
      <c r="A411" s="97" t="s">
        <v>41</v>
      </c>
      <c r="B411" s="97" t="s">
        <v>107</v>
      </c>
      <c r="C411" s="97" t="s">
        <v>12</v>
      </c>
      <c r="D411" s="97">
        <v>0</v>
      </c>
      <c r="E411" s="97">
        <v>0</v>
      </c>
      <c r="F411" s="97">
        <v>1000</v>
      </c>
      <c r="G411" s="97" t="s">
        <v>28</v>
      </c>
      <c r="H411" s="97" t="s">
        <v>4</v>
      </c>
    </row>
    <row r="412" spans="1:8">
      <c r="A412" s="97" t="s">
        <v>41</v>
      </c>
      <c r="B412" s="97" t="s">
        <v>107</v>
      </c>
      <c r="C412" s="97" t="s">
        <v>12</v>
      </c>
      <c r="D412" s="97">
        <v>0</v>
      </c>
      <c r="E412" s="97">
        <v>0</v>
      </c>
      <c r="F412" s="97">
        <v>1000</v>
      </c>
      <c r="G412" s="97" t="s">
        <v>29</v>
      </c>
      <c r="H412" s="97" t="s">
        <v>4</v>
      </c>
    </row>
    <row r="413" spans="1:8">
      <c r="A413" s="97" t="s">
        <v>41</v>
      </c>
      <c r="B413" s="97" t="s">
        <v>107</v>
      </c>
      <c r="C413" s="97" t="s">
        <v>12</v>
      </c>
      <c r="D413" s="97">
        <v>0</v>
      </c>
      <c r="E413" s="97">
        <v>0</v>
      </c>
      <c r="F413" s="97">
        <v>1000</v>
      </c>
      <c r="G413" s="97" t="s">
        <v>30</v>
      </c>
      <c r="H413" s="97" t="s">
        <v>4</v>
      </c>
    </row>
    <row r="414" spans="1:8">
      <c r="A414" s="97" t="s">
        <v>41</v>
      </c>
      <c r="B414" s="97" t="s">
        <v>107</v>
      </c>
      <c r="C414" s="97" t="s">
        <v>12</v>
      </c>
      <c r="D414" s="97">
        <v>0</v>
      </c>
      <c r="E414" s="97">
        <v>0</v>
      </c>
      <c r="F414" s="97">
        <v>1000</v>
      </c>
      <c r="G414" s="97" t="s">
        <v>31</v>
      </c>
      <c r="H414" s="97" t="s">
        <v>10</v>
      </c>
    </row>
    <row r="415" spans="1:8">
      <c r="A415" s="97" t="s">
        <v>41</v>
      </c>
      <c r="B415" s="97" t="s">
        <v>107</v>
      </c>
      <c r="C415" s="97" t="s">
        <v>12</v>
      </c>
      <c r="D415" s="97">
        <v>0</v>
      </c>
      <c r="E415" s="97">
        <v>0</v>
      </c>
      <c r="F415" s="97">
        <v>1000</v>
      </c>
      <c r="G415" s="97" t="s">
        <v>32</v>
      </c>
      <c r="H415" s="97" t="s">
        <v>4</v>
      </c>
    </row>
    <row r="416" spans="1:8">
      <c r="A416" s="97" t="s">
        <v>41</v>
      </c>
      <c r="B416" s="97" t="s">
        <v>107</v>
      </c>
      <c r="C416" s="97" t="s">
        <v>12</v>
      </c>
      <c r="D416" s="97">
        <v>0</v>
      </c>
      <c r="E416" s="97">
        <v>0</v>
      </c>
      <c r="F416" s="97">
        <v>1000</v>
      </c>
      <c r="G416" s="97" t="s">
        <v>33</v>
      </c>
      <c r="H416" s="97" t="s">
        <v>4</v>
      </c>
    </row>
    <row r="417" spans="1:8">
      <c r="A417" s="97" t="s">
        <v>41</v>
      </c>
      <c r="B417" s="97" t="s">
        <v>107</v>
      </c>
      <c r="C417" s="97" t="s">
        <v>12</v>
      </c>
      <c r="D417" s="97">
        <v>0</v>
      </c>
      <c r="E417" s="97">
        <v>0</v>
      </c>
      <c r="F417" s="97">
        <v>1000</v>
      </c>
      <c r="G417" s="97" t="s">
        <v>34</v>
      </c>
      <c r="H417" s="97" t="s">
        <v>10</v>
      </c>
    </row>
    <row r="418" spans="1:8">
      <c r="A418" s="97" t="s">
        <v>41</v>
      </c>
      <c r="B418" s="97" t="s">
        <v>107</v>
      </c>
      <c r="C418" s="97" t="s">
        <v>12</v>
      </c>
      <c r="D418" s="97">
        <v>0</v>
      </c>
      <c r="E418" s="97">
        <v>0</v>
      </c>
      <c r="F418" s="97">
        <v>1000</v>
      </c>
      <c r="G418" s="97" t="s">
        <v>129</v>
      </c>
      <c r="H418" s="97">
        <v>1000</v>
      </c>
    </row>
    <row r="419" spans="1:8">
      <c r="A419" s="97" t="s">
        <v>41</v>
      </c>
      <c r="B419" s="97" t="s">
        <v>107</v>
      </c>
      <c r="C419" s="97" t="s">
        <v>12</v>
      </c>
      <c r="D419" s="97">
        <v>0</v>
      </c>
      <c r="E419" s="97">
        <v>0</v>
      </c>
      <c r="F419" s="97">
        <v>1000</v>
      </c>
      <c r="G419" s="97" t="s">
        <v>132</v>
      </c>
      <c r="H419" s="97">
        <v>2</v>
      </c>
    </row>
    <row r="420" spans="1:8">
      <c r="A420" s="97" t="s">
        <v>41</v>
      </c>
      <c r="B420" s="97" t="s">
        <v>107</v>
      </c>
      <c r="C420" s="97" t="s">
        <v>12</v>
      </c>
      <c r="D420" s="97">
        <v>0</v>
      </c>
      <c r="E420" s="97">
        <v>0</v>
      </c>
      <c r="F420" s="97">
        <v>1000</v>
      </c>
      <c r="G420" s="97" t="s">
        <v>147</v>
      </c>
      <c r="H420" s="97" t="s">
        <v>149</v>
      </c>
    </row>
    <row r="421" spans="1:8">
      <c r="A421" s="97" t="s">
        <v>117</v>
      </c>
      <c r="B421" s="97" t="s">
        <v>107</v>
      </c>
      <c r="C421" s="97" t="s">
        <v>13</v>
      </c>
      <c r="D421" s="97">
        <v>0</v>
      </c>
      <c r="E421" s="97">
        <v>0</v>
      </c>
      <c r="F421" s="97">
        <v>1500</v>
      </c>
      <c r="G421" s="97" t="s">
        <v>24</v>
      </c>
      <c r="H421" s="97" t="s">
        <v>4</v>
      </c>
    </row>
    <row r="422" spans="1:8">
      <c r="A422" s="97" t="s">
        <v>117</v>
      </c>
      <c r="B422" s="97" t="s">
        <v>107</v>
      </c>
      <c r="C422" s="97" t="s">
        <v>13</v>
      </c>
      <c r="D422" s="97">
        <v>0</v>
      </c>
      <c r="E422" s="97">
        <v>0</v>
      </c>
      <c r="F422" s="97">
        <v>1500</v>
      </c>
      <c r="G422" s="97" t="s">
        <v>25</v>
      </c>
      <c r="H422" s="97" t="s">
        <v>4</v>
      </c>
    </row>
    <row r="423" spans="1:8">
      <c r="A423" s="97" t="s">
        <v>117</v>
      </c>
      <c r="B423" s="97" t="s">
        <v>107</v>
      </c>
      <c r="C423" s="97" t="s">
        <v>13</v>
      </c>
      <c r="D423" s="97">
        <v>0</v>
      </c>
      <c r="E423" s="97">
        <v>0</v>
      </c>
      <c r="F423" s="97">
        <v>1500</v>
      </c>
      <c r="G423" s="97" t="s">
        <v>26</v>
      </c>
      <c r="H423" s="97" t="s">
        <v>10</v>
      </c>
    </row>
    <row r="424" spans="1:8">
      <c r="A424" s="97" t="s">
        <v>117</v>
      </c>
      <c r="B424" s="97" t="s">
        <v>107</v>
      </c>
      <c r="C424" s="97" t="s">
        <v>13</v>
      </c>
      <c r="D424" s="97">
        <v>0</v>
      </c>
      <c r="E424" s="97">
        <v>0</v>
      </c>
      <c r="F424" s="97">
        <v>1500</v>
      </c>
      <c r="G424" s="97" t="s">
        <v>27</v>
      </c>
      <c r="H424" s="97" t="s">
        <v>4</v>
      </c>
    </row>
    <row r="425" spans="1:8">
      <c r="A425" s="97" t="s">
        <v>117</v>
      </c>
      <c r="B425" s="97" t="s">
        <v>107</v>
      </c>
      <c r="C425" s="97" t="s">
        <v>13</v>
      </c>
      <c r="D425" s="97">
        <v>0</v>
      </c>
      <c r="E425" s="97">
        <v>0</v>
      </c>
      <c r="F425" s="97">
        <v>1500</v>
      </c>
      <c r="G425" s="97" t="s">
        <v>28</v>
      </c>
      <c r="H425" s="97" t="s">
        <v>4</v>
      </c>
    </row>
    <row r="426" spans="1:8">
      <c r="A426" s="97" t="s">
        <v>117</v>
      </c>
      <c r="B426" s="97" t="s">
        <v>107</v>
      </c>
      <c r="C426" s="97" t="s">
        <v>13</v>
      </c>
      <c r="D426" s="97">
        <v>0</v>
      </c>
      <c r="E426" s="97">
        <v>0</v>
      </c>
      <c r="F426" s="97">
        <v>1500</v>
      </c>
      <c r="G426" s="97" t="s">
        <v>29</v>
      </c>
      <c r="H426" s="97" t="s">
        <v>8</v>
      </c>
    </row>
    <row r="427" spans="1:8">
      <c r="A427" s="97" t="s">
        <v>117</v>
      </c>
      <c r="B427" s="97" t="s">
        <v>107</v>
      </c>
      <c r="C427" s="97" t="s">
        <v>13</v>
      </c>
      <c r="D427" s="97">
        <v>0</v>
      </c>
      <c r="E427" s="97">
        <v>0</v>
      </c>
      <c r="F427" s="97">
        <v>1500</v>
      </c>
      <c r="G427" s="97" t="s">
        <v>30</v>
      </c>
      <c r="H427" s="97" t="s">
        <v>4</v>
      </c>
    </row>
    <row r="428" spans="1:8">
      <c r="A428" s="97" t="s">
        <v>117</v>
      </c>
      <c r="B428" s="97" t="s">
        <v>107</v>
      </c>
      <c r="C428" s="97" t="s">
        <v>13</v>
      </c>
      <c r="D428" s="97">
        <v>0</v>
      </c>
      <c r="E428" s="97">
        <v>0</v>
      </c>
      <c r="F428" s="97">
        <v>1500</v>
      </c>
      <c r="G428" s="97" t="s">
        <v>31</v>
      </c>
      <c r="H428" s="97" t="s">
        <v>4</v>
      </c>
    </row>
    <row r="429" spans="1:8">
      <c r="A429" s="97" t="s">
        <v>117</v>
      </c>
      <c r="B429" s="97" t="s">
        <v>107</v>
      </c>
      <c r="C429" s="97" t="s">
        <v>13</v>
      </c>
      <c r="D429" s="97">
        <v>0</v>
      </c>
      <c r="E429" s="97">
        <v>0</v>
      </c>
      <c r="F429" s="97">
        <v>1500</v>
      </c>
      <c r="G429" s="97" t="s">
        <v>32</v>
      </c>
      <c r="H429" s="97" t="s">
        <v>4</v>
      </c>
    </row>
    <row r="430" spans="1:8">
      <c r="A430" s="97" t="s">
        <v>117</v>
      </c>
      <c r="B430" s="97" t="s">
        <v>107</v>
      </c>
      <c r="C430" s="97" t="s">
        <v>13</v>
      </c>
      <c r="D430" s="97">
        <v>0</v>
      </c>
      <c r="E430" s="97">
        <v>0</v>
      </c>
      <c r="F430" s="97">
        <v>1500</v>
      </c>
      <c r="G430" s="97" t="s">
        <v>33</v>
      </c>
      <c r="H430" s="97" t="s">
        <v>10</v>
      </c>
    </row>
    <row r="431" spans="1:8">
      <c r="A431" s="97" t="s">
        <v>117</v>
      </c>
      <c r="B431" s="97" t="s">
        <v>107</v>
      </c>
      <c r="C431" s="97" t="s">
        <v>13</v>
      </c>
      <c r="D431" s="97">
        <v>0</v>
      </c>
      <c r="E431" s="97">
        <v>0</v>
      </c>
      <c r="F431" s="97">
        <v>1500</v>
      </c>
      <c r="G431" s="97" t="s">
        <v>34</v>
      </c>
      <c r="H431" s="97" t="s">
        <v>10</v>
      </c>
    </row>
    <row r="432" spans="1:8">
      <c r="A432" s="97" t="s">
        <v>117</v>
      </c>
      <c r="B432" s="97" t="s">
        <v>107</v>
      </c>
      <c r="C432" s="97" t="s">
        <v>13</v>
      </c>
      <c r="D432" s="97">
        <v>0</v>
      </c>
      <c r="E432" s="97">
        <v>0</v>
      </c>
      <c r="F432" s="97">
        <v>1500</v>
      </c>
      <c r="G432" s="97" t="s">
        <v>129</v>
      </c>
      <c r="H432" s="97">
        <v>1500</v>
      </c>
    </row>
    <row r="433" spans="1:8">
      <c r="A433" s="97" t="s">
        <v>117</v>
      </c>
      <c r="B433" s="97" t="s">
        <v>107</v>
      </c>
      <c r="C433" s="97" t="s">
        <v>13</v>
      </c>
      <c r="D433" s="97">
        <v>0</v>
      </c>
      <c r="E433" s="97">
        <v>0</v>
      </c>
      <c r="F433" s="97">
        <v>1500</v>
      </c>
      <c r="G433" s="97" t="s">
        <v>132</v>
      </c>
      <c r="H433" s="97">
        <v>3</v>
      </c>
    </row>
    <row r="434" spans="1:8">
      <c r="A434" s="97" t="s">
        <v>117</v>
      </c>
      <c r="B434" s="97" t="s">
        <v>107</v>
      </c>
      <c r="C434" s="97" t="s">
        <v>13</v>
      </c>
      <c r="D434" s="97">
        <v>0</v>
      </c>
      <c r="E434" s="97">
        <v>0</v>
      </c>
      <c r="F434" s="97">
        <v>1500</v>
      </c>
      <c r="G434" s="97" t="s">
        <v>147</v>
      </c>
      <c r="H434" s="97" t="s">
        <v>149</v>
      </c>
    </row>
    <row r="435" spans="1:8">
      <c r="A435" s="97" t="s">
        <v>73</v>
      </c>
      <c r="B435" s="97" t="s">
        <v>106</v>
      </c>
      <c r="C435" s="97" t="s">
        <v>12</v>
      </c>
      <c r="D435" s="97">
        <v>300</v>
      </c>
      <c r="E435" s="97">
        <v>0</v>
      </c>
      <c r="F435" s="97">
        <v>1500</v>
      </c>
      <c r="G435" s="97" t="s">
        <v>24</v>
      </c>
      <c r="H435" s="97" t="s">
        <v>6</v>
      </c>
    </row>
    <row r="436" spans="1:8">
      <c r="A436" s="97" t="s">
        <v>73</v>
      </c>
      <c r="B436" s="97" t="s">
        <v>106</v>
      </c>
      <c r="C436" s="97" t="s">
        <v>12</v>
      </c>
      <c r="D436" s="97">
        <v>300</v>
      </c>
      <c r="E436" s="97">
        <v>0</v>
      </c>
      <c r="F436" s="97">
        <v>1500</v>
      </c>
      <c r="G436" s="97" t="s">
        <v>25</v>
      </c>
      <c r="H436" s="97" t="s">
        <v>10</v>
      </c>
    </row>
    <row r="437" spans="1:8">
      <c r="A437" s="97" t="s">
        <v>73</v>
      </c>
      <c r="B437" s="97" t="s">
        <v>106</v>
      </c>
      <c r="C437" s="97" t="s">
        <v>12</v>
      </c>
      <c r="D437" s="97">
        <v>300</v>
      </c>
      <c r="E437" s="97">
        <v>0</v>
      </c>
      <c r="F437" s="97">
        <v>1500</v>
      </c>
      <c r="G437" s="97" t="s">
        <v>26</v>
      </c>
      <c r="H437" s="97" t="s">
        <v>4</v>
      </c>
    </row>
    <row r="438" spans="1:8">
      <c r="A438" s="97" t="s">
        <v>73</v>
      </c>
      <c r="B438" s="97" t="s">
        <v>106</v>
      </c>
      <c r="C438" s="97" t="s">
        <v>12</v>
      </c>
      <c r="D438" s="97">
        <v>300</v>
      </c>
      <c r="E438" s="97">
        <v>0</v>
      </c>
      <c r="F438" s="97">
        <v>1500</v>
      </c>
      <c r="G438" s="97" t="s">
        <v>27</v>
      </c>
      <c r="H438" s="97" t="s">
        <v>4</v>
      </c>
    </row>
    <row r="439" spans="1:8">
      <c r="A439" s="97" t="s">
        <v>73</v>
      </c>
      <c r="B439" s="97" t="s">
        <v>106</v>
      </c>
      <c r="C439" s="97" t="s">
        <v>12</v>
      </c>
      <c r="D439" s="97">
        <v>300</v>
      </c>
      <c r="E439" s="97">
        <v>0</v>
      </c>
      <c r="F439" s="97">
        <v>1500</v>
      </c>
      <c r="G439" s="97" t="s">
        <v>28</v>
      </c>
      <c r="H439" s="97" t="s">
        <v>4</v>
      </c>
    </row>
    <row r="440" spans="1:8">
      <c r="A440" s="97" t="s">
        <v>73</v>
      </c>
      <c r="B440" s="97" t="s">
        <v>106</v>
      </c>
      <c r="C440" s="97" t="s">
        <v>12</v>
      </c>
      <c r="D440" s="97">
        <v>300</v>
      </c>
      <c r="E440" s="97">
        <v>0</v>
      </c>
      <c r="F440" s="97">
        <v>1500</v>
      </c>
      <c r="G440" s="97" t="s">
        <v>29</v>
      </c>
      <c r="H440" s="97" t="s">
        <v>10</v>
      </c>
    </row>
    <row r="441" spans="1:8">
      <c r="A441" s="97" t="s">
        <v>73</v>
      </c>
      <c r="B441" s="97" t="s">
        <v>106</v>
      </c>
      <c r="C441" s="97" t="s">
        <v>12</v>
      </c>
      <c r="D441" s="97">
        <v>300</v>
      </c>
      <c r="E441" s="97">
        <v>0</v>
      </c>
      <c r="F441" s="97">
        <v>1500</v>
      </c>
      <c r="G441" s="97" t="s">
        <v>30</v>
      </c>
      <c r="H441" s="97" t="s">
        <v>4</v>
      </c>
    </row>
    <row r="442" spans="1:8">
      <c r="A442" s="97" t="s">
        <v>73</v>
      </c>
      <c r="B442" s="97" t="s">
        <v>106</v>
      </c>
      <c r="C442" s="97" t="s">
        <v>12</v>
      </c>
      <c r="D442" s="97">
        <v>300</v>
      </c>
      <c r="E442" s="97">
        <v>0</v>
      </c>
      <c r="F442" s="97">
        <v>1500</v>
      </c>
      <c r="G442" s="97" t="s">
        <v>31</v>
      </c>
      <c r="H442" s="97" t="s">
        <v>4</v>
      </c>
    </row>
    <row r="443" spans="1:8">
      <c r="A443" s="97" t="s">
        <v>73</v>
      </c>
      <c r="B443" s="97" t="s">
        <v>106</v>
      </c>
      <c r="C443" s="97" t="s">
        <v>12</v>
      </c>
      <c r="D443" s="97">
        <v>300</v>
      </c>
      <c r="E443" s="97">
        <v>0</v>
      </c>
      <c r="F443" s="97">
        <v>1500</v>
      </c>
      <c r="G443" s="97" t="s">
        <v>32</v>
      </c>
      <c r="H443" s="97" t="s">
        <v>10</v>
      </c>
    </row>
    <row r="444" spans="1:8">
      <c r="A444" s="97" t="s">
        <v>73</v>
      </c>
      <c r="B444" s="97" t="s">
        <v>106</v>
      </c>
      <c r="C444" s="97" t="s">
        <v>12</v>
      </c>
      <c r="D444" s="97">
        <v>300</v>
      </c>
      <c r="E444" s="97">
        <v>0</v>
      </c>
      <c r="F444" s="97">
        <v>1500</v>
      </c>
      <c r="G444" s="97" t="s">
        <v>33</v>
      </c>
      <c r="H444" s="97" t="s">
        <v>4</v>
      </c>
    </row>
    <row r="445" spans="1:8">
      <c r="A445" s="97" t="s">
        <v>73</v>
      </c>
      <c r="B445" s="97" t="s">
        <v>106</v>
      </c>
      <c r="C445" s="97" t="s">
        <v>12</v>
      </c>
      <c r="D445" s="97">
        <v>300</v>
      </c>
      <c r="E445" s="97">
        <v>0</v>
      </c>
      <c r="F445" s="97">
        <v>1500</v>
      </c>
      <c r="G445" s="97" t="s">
        <v>34</v>
      </c>
      <c r="H445" s="97" t="s">
        <v>8</v>
      </c>
    </row>
    <row r="446" spans="1:8">
      <c r="A446" s="97" t="s">
        <v>73</v>
      </c>
      <c r="B446" s="97" t="s">
        <v>106</v>
      </c>
      <c r="C446" s="97" t="s">
        <v>12</v>
      </c>
      <c r="D446" s="97">
        <v>300</v>
      </c>
      <c r="E446" s="97">
        <v>0</v>
      </c>
      <c r="F446" s="97">
        <v>1500</v>
      </c>
      <c r="G446" s="97" t="s">
        <v>129</v>
      </c>
      <c r="H446" s="97">
        <v>1800</v>
      </c>
    </row>
    <row r="447" spans="1:8">
      <c r="A447" s="97" t="s">
        <v>73</v>
      </c>
      <c r="B447" s="97" t="s">
        <v>106</v>
      </c>
      <c r="C447" s="97" t="s">
        <v>12</v>
      </c>
      <c r="D447" s="97">
        <v>300</v>
      </c>
      <c r="E447" s="97">
        <v>0</v>
      </c>
      <c r="F447" s="97">
        <v>1500</v>
      </c>
      <c r="G447" s="97" t="s">
        <v>132</v>
      </c>
      <c r="H447" s="97">
        <v>3</v>
      </c>
    </row>
    <row r="448" spans="1:8">
      <c r="A448" s="97" t="s">
        <v>73</v>
      </c>
      <c r="B448" s="97" t="s">
        <v>106</v>
      </c>
      <c r="C448" s="97" t="s">
        <v>12</v>
      </c>
      <c r="D448" s="97">
        <v>300</v>
      </c>
      <c r="E448" s="97">
        <v>0</v>
      </c>
      <c r="F448" s="97">
        <v>1500</v>
      </c>
      <c r="G448" s="97" t="s">
        <v>147</v>
      </c>
      <c r="H448" s="97" t="s">
        <v>149</v>
      </c>
    </row>
    <row r="449" spans="1:8">
      <c r="A449" s="97" t="s">
        <v>51</v>
      </c>
      <c r="B449" s="97" t="s">
        <v>107</v>
      </c>
      <c r="C449" s="97" t="s">
        <v>12</v>
      </c>
      <c r="D449" s="97">
        <v>600</v>
      </c>
      <c r="E449" s="97">
        <v>0</v>
      </c>
      <c r="F449" s="97">
        <v>1000</v>
      </c>
      <c r="G449" s="97" t="s">
        <v>24</v>
      </c>
      <c r="H449" s="97" t="s">
        <v>4</v>
      </c>
    </row>
    <row r="450" spans="1:8">
      <c r="A450" s="97" t="s">
        <v>51</v>
      </c>
      <c r="B450" s="97" t="s">
        <v>107</v>
      </c>
      <c r="C450" s="97" t="s">
        <v>12</v>
      </c>
      <c r="D450" s="97">
        <v>600</v>
      </c>
      <c r="E450" s="97">
        <v>0</v>
      </c>
      <c r="F450" s="97">
        <v>1000</v>
      </c>
      <c r="G450" s="97" t="s">
        <v>25</v>
      </c>
      <c r="H450" s="97" t="s">
        <v>6</v>
      </c>
    </row>
    <row r="451" spans="1:8">
      <c r="A451" s="97" t="s">
        <v>51</v>
      </c>
      <c r="B451" s="97" t="s">
        <v>107</v>
      </c>
      <c r="C451" s="97" t="s">
        <v>12</v>
      </c>
      <c r="D451" s="97">
        <v>600</v>
      </c>
      <c r="E451" s="97">
        <v>0</v>
      </c>
      <c r="F451" s="97">
        <v>1000</v>
      </c>
      <c r="G451" s="97" t="s">
        <v>26</v>
      </c>
      <c r="H451" s="97" t="s">
        <v>4</v>
      </c>
    </row>
    <row r="452" spans="1:8">
      <c r="A452" s="97" t="s">
        <v>51</v>
      </c>
      <c r="B452" s="97" t="s">
        <v>107</v>
      </c>
      <c r="C452" s="97" t="s">
        <v>12</v>
      </c>
      <c r="D452" s="97">
        <v>600</v>
      </c>
      <c r="E452" s="97">
        <v>0</v>
      </c>
      <c r="F452" s="97">
        <v>1000</v>
      </c>
      <c r="G452" s="97" t="s">
        <v>27</v>
      </c>
      <c r="H452" s="97" t="s">
        <v>4</v>
      </c>
    </row>
    <row r="453" spans="1:8">
      <c r="A453" s="97" t="s">
        <v>51</v>
      </c>
      <c r="B453" s="97" t="s">
        <v>107</v>
      </c>
      <c r="C453" s="97" t="s">
        <v>12</v>
      </c>
      <c r="D453" s="97">
        <v>600</v>
      </c>
      <c r="E453" s="97">
        <v>0</v>
      </c>
      <c r="F453" s="97">
        <v>1000</v>
      </c>
      <c r="G453" s="97" t="s">
        <v>28</v>
      </c>
      <c r="H453" s="97" t="s">
        <v>10</v>
      </c>
    </row>
    <row r="454" spans="1:8">
      <c r="A454" s="97" t="s">
        <v>51</v>
      </c>
      <c r="B454" s="97" t="s">
        <v>107</v>
      </c>
      <c r="C454" s="97" t="s">
        <v>12</v>
      </c>
      <c r="D454" s="97">
        <v>600</v>
      </c>
      <c r="E454" s="97">
        <v>0</v>
      </c>
      <c r="F454" s="97">
        <v>1000</v>
      </c>
      <c r="G454" s="97" t="s">
        <v>29</v>
      </c>
      <c r="H454" s="97" t="s">
        <v>4</v>
      </c>
    </row>
    <row r="455" spans="1:8">
      <c r="A455" s="97" t="s">
        <v>51</v>
      </c>
      <c r="B455" s="97" t="s">
        <v>107</v>
      </c>
      <c r="C455" s="97" t="s">
        <v>12</v>
      </c>
      <c r="D455" s="97">
        <v>600</v>
      </c>
      <c r="E455" s="97">
        <v>0</v>
      </c>
      <c r="F455" s="97">
        <v>1000</v>
      </c>
      <c r="G455" s="97" t="s">
        <v>30</v>
      </c>
      <c r="H455" s="97" t="s">
        <v>6</v>
      </c>
    </row>
    <row r="456" spans="1:8">
      <c r="A456" s="97" t="s">
        <v>51</v>
      </c>
      <c r="B456" s="97" t="s">
        <v>107</v>
      </c>
      <c r="C456" s="97" t="s">
        <v>12</v>
      </c>
      <c r="D456" s="97">
        <v>600</v>
      </c>
      <c r="E456" s="97">
        <v>0</v>
      </c>
      <c r="F456" s="97">
        <v>1000</v>
      </c>
      <c r="G456" s="97" t="s">
        <v>31</v>
      </c>
      <c r="H456" s="97" t="s">
        <v>10</v>
      </c>
    </row>
    <row r="457" spans="1:8">
      <c r="A457" s="97" t="s">
        <v>51</v>
      </c>
      <c r="B457" s="97" t="s">
        <v>107</v>
      </c>
      <c r="C457" s="97" t="s">
        <v>12</v>
      </c>
      <c r="D457" s="97">
        <v>600</v>
      </c>
      <c r="E457" s="97">
        <v>0</v>
      </c>
      <c r="F457" s="97">
        <v>1000</v>
      </c>
      <c r="G457" s="97" t="s">
        <v>32</v>
      </c>
      <c r="H457" s="97" t="s">
        <v>4</v>
      </c>
    </row>
    <row r="458" spans="1:8">
      <c r="A458" s="97" t="s">
        <v>51</v>
      </c>
      <c r="B458" s="97" t="s">
        <v>107</v>
      </c>
      <c r="C458" s="97" t="s">
        <v>12</v>
      </c>
      <c r="D458" s="97">
        <v>600</v>
      </c>
      <c r="E458" s="97">
        <v>0</v>
      </c>
      <c r="F458" s="97">
        <v>1000</v>
      </c>
      <c r="G458" s="97" t="s">
        <v>33</v>
      </c>
      <c r="H458" s="97" t="s">
        <v>4</v>
      </c>
    </row>
    <row r="459" spans="1:8">
      <c r="A459" s="97" t="s">
        <v>51</v>
      </c>
      <c r="B459" s="97" t="s">
        <v>107</v>
      </c>
      <c r="C459" s="97" t="s">
        <v>12</v>
      </c>
      <c r="D459" s="97">
        <v>600</v>
      </c>
      <c r="E459" s="97">
        <v>0</v>
      </c>
      <c r="F459" s="97">
        <v>1000</v>
      </c>
      <c r="G459" s="97" t="s">
        <v>34</v>
      </c>
      <c r="H459" s="97" t="s">
        <v>4</v>
      </c>
    </row>
    <row r="460" spans="1:8">
      <c r="A460" s="97" t="s">
        <v>51</v>
      </c>
      <c r="B460" s="97" t="s">
        <v>107</v>
      </c>
      <c r="C460" s="97" t="s">
        <v>12</v>
      </c>
      <c r="D460" s="97">
        <v>600</v>
      </c>
      <c r="E460" s="97">
        <v>0</v>
      </c>
      <c r="F460" s="97">
        <v>1000</v>
      </c>
      <c r="G460" s="97" t="s">
        <v>129</v>
      </c>
      <c r="H460" s="97">
        <v>1600</v>
      </c>
    </row>
    <row r="461" spans="1:8">
      <c r="A461" s="97" t="s">
        <v>51</v>
      </c>
      <c r="B461" s="97" t="s">
        <v>107</v>
      </c>
      <c r="C461" s="97" t="s">
        <v>12</v>
      </c>
      <c r="D461" s="97">
        <v>600</v>
      </c>
      <c r="E461" s="97">
        <v>0</v>
      </c>
      <c r="F461" s="97">
        <v>1000</v>
      </c>
      <c r="G461" s="97" t="s">
        <v>132</v>
      </c>
      <c r="H461" s="97">
        <v>2</v>
      </c>
    </row>
    <row r="462" spans="1:8">
      <c r="A462" s="97" t="s">
        <v>51</v>
      </c>
      <c r="B462" s="97" t="s">
        <v>107</v>
      </c>
      <c r="C462" s="97" t="s">
        <v>12</v>
      </c>
      <c r="D462" s="97">
        <v>600</v>
      </c>
      <c r="E462" s="97">
        <v>0</v>
      </c>
      <c r="F462" s="97">
        <v>1000</v>
      </c>
      <c r="G462" s="97" t="s">
        <v>147</v>
      </c>
      <c r="H462" s="97" t="s">
        <v>149</v>
      </c>
    </row>
    <row r="463" spans="1:8">
      <c r="A463" s="97" t="s">
        <v>90</v>
      </c>
      <c r="B463" s="97" t="s">
        <v>106</v>
      </c>
      <c r="C463" s="97" t="s">
        <v>13</v>
      </c>
      <c r="D463" s="97">
        <v>0</v>
      </c>
      <c r="E463" s="97">
        <v>0</v>
      </c>
      <c r="F463" s="97">
        <v>500</v>
      </c>
      <c r="G463" s="97" t="s">
        <v>24</v>
      </c>
      <c r="H463" s="97" t="s">
        <v>4</v>
      </c>
    </row>
    <row r="464" spans="1:8">
      <c r="A464" s="97" t="s">
        <v>90</v>
      </c>
      <c r="B464" s="97" t="s">
        <v>106</v>
      </c>
      <c r="C464" s="97" t="s">
        <v>13</v>
      </c>
      <c r="D464" s="97">
        <v>0</v>
      </c>
      <c r="E464" s="97">
        <v>0</v>
      </c>
      <c r="F464" s="97">
        <v>500</v>
      </c>
      <c r="G464" s="97" t="s">
        <v>25</v>
      </c>
      <c r="H464" s="97" t="s">
        <v>4</v>
      </c>
    </row>
    <row r="465" spans="1:8">
      <c r="A465" s="97" t="s">
        <v>90</v>
      </c>
      <c r="B465" s="97" t="s">
        <v>106</v>
      </c>
      <c r="C465" s="97" t="s">
        <v>13</v>
      </c>
      <c r="D465" s="97">
        <v>0</v>
      </c>
      <c r="E465" s="97">
        <v>0</v>
      </c>
      <c r="F465" s="97">
        <v>500</v>
      </c>
      <c r="G465" s="97" t="s">
        <v>26</v>
      </c>
      <c r="H465" s="97" t="s">
        <v>4</v>
      </c>
    </row>
    <row r="466" spans="1:8">
      <c r="A466" s="97" t="s">
        <v>90</v>
      </c>
      <c r="B466" s="97" t="s">
        <v>106</v>
      </c>
      <c r="C466" s="97" t="s">
        <v>13</v>
      </c>
      <c r="D466" s="97">
        <v>0</v>
      </c>
      <c r="E466" s="97">
        <v>0</v>
      </c>
      <c r="F466" s="97">
        <v>500</v>
      </c>
      <c r="G466" s="97" t="s">
        <v>27</v>
      </c>
      <c r="H466" s="97" t="s">
        <v>4</v>
      </c>
    </row>
    <row r="467" spans="1:8">
      <c r="A467" s="97" t="s">
        <v>90</v>
      </c>
      <c r="B467" s="97" t="s">
        <v>106</v>
      </c>
      <c r="C467" s="97" t="s">
        <v>13</v>
      </c>
      <c r="D467" s="97">
        <v>0</v>
      </c>
      <c r="E467" s="97">
        <v>0</v>
      </c>
      <c r="F467" s="97">
        <v>500</v>
      </c>
      <c r="G467" s="97" t="s">
        <v>28</v>
      </c>
      <c r="H467" s="97" t="s">
        <v>4</v>
      </c>
    </row>
    <row r="468" spans="1:8">
      <c r="A468" s="97" t="s">
        <v>90</v>
      </c>
      <c r="B468" s="97" t="s">
        <v>106</v>
      </c>
      <c r="C468" s="97" t="s">
        <v>13</v>
      </c>
      <c r="D468" s="97">
        <v>0</v>
      </c>
      <c r="E468" s="97">
        <v>0</v>
      </c>
      <c r="F468" s="97">
        <v>500</v>
      </c>
      <c r="G468" s="97" t="s">
        <v>29</v>
      </c>
      <c r="H468" s="97" t="s">
        <v>8</v>
      </c>
    </row>
    <row r="469" spans="1:8">
      <c r="A469" s="97" t="s">
        <v>90</v>
      </c>
      <c r="B469" s="97" t="s">
        <v>106</v>
      </c>
      <c r="C469" s="97" t="s">
        <v>13</v>
      </c>
      <c r="D469" s="97">
        <v>0</v>
      </c>
      <c r="E469" s="97">
        <v>0</v>
      </c>
      <c r="F469" s="97">
        <v>500</v>
      </c>
      <c r="G469" s="97" t="s">
        <v>30</v>
      </c>
      <c r="H469" s="97" t="s">
        <v>10</v>
      </c>
    </row>
    <row r="470" spans="1:8">
      <c r="A470" s="97" t="s">
        <v>90</v>
      </c>
      <c r="B470" s="97" t="s">
        <v>106</v>
      </c>
      <c r="C470" s="97" t="s">
        <v>13</v>
      </c>
      <c r="D470" s="97">
        <v>0</v>
      </c>
      <c r="E470" s="97">
        <v>0</v>
      </c>
      <c r="F470" s="97">
        <v>500</v>
      </c>
      <c r="G470" s="97" t="s">
        <v>31</v>
      </c>
      <c r="H470" s="97" t="s">
        <v>4</v>
      </c>
    </row>
    <row r="471" spans="1:8">
      <c r="A471" s="97" t="s">
        <v>90</v>
      </c>
      <c r="B471" s="97" t="s">
        <v>106</v>
      </c>
      <c r="C471" s="97" t="s">
        <v>13</v>
      </c>
      <c r="D471" s="97">
        <v>0</v>
      </c>
      <c r="E471" s="97">
        <v>0</v>
      </c>
      <c r="F471" s="97">
        <v>500</v>
      </c>
      <c r="G471" s="97" t="s">
        <v>32</v>
      </c>
      <c r="H471" s="97" t="s">
        <v>4</v>
      </c>
    </row>
    <row r="472" spans="1:8">
      <c r="A472" s="97" t="s">
        <v>90</v>
      </c>
      <c r="B472" s="97" t="s">
        <v>106</v>
      </c>
      <c r="C472" s="97" t="s">
        <v>13</v>
      </c>
      <c r="D472" s="97">
        <v>0</v>
      </c>
      <c r="E472" s="97">
        <v>0</v>
      </c>
      <c r="F472" s="97">
        <v>500</v>
      </c>
      <c r="G472" s="97" t="s">
        <v>33</v>
      </c>
      <c r="H472" s="97" t="s">
        <v>4</v>
      </c>
    </row>
    <row r="473" spans="1:8">
      <c r="A473" s="97" t="s">
        <v>90</v>
      </c>
      <c r="B473" s="97" t="s">
        <v>106</v>
      </c>
      <c r="C473" s="97" t="s">
        <v>13</v>
      </c>
      <c r="D473" s="97">
        <v>0</v>
      </c>
      <c r="E473" s="97">
        <v>0</v>
      </c>
      <c r="F473" s="97">
        <v>500</v>
      </c>
      <c r="G473" s="97" t="s">
        <v>34</v>
      </c>
      <c r="H473" s="97" t="s">
        <v>4</v>
      </c>
    </row>
    <row r="474" spans="1:8">
      <c r="A474" s="97" t="s">
        <v>90</v>
      </c>
      <c r="B474" s="97" t="s">
        <v>106</v>
      </c>
      <c r="C474" s="97" t="s">
        <v>13</v>
      </c>
      <c r="D474" s="97">
        <v>0</v>
      </c>
      <c r="E474" s="97">
        <v>0</v>
      </c>
      <c r="F474" s="97">
        <v>500</v>
      </c>
      <c r="G474" s="97" t="s">
        <v>129</v>
      </c>
      <c r="H474" s="97">
        <v>500</v>
      </c>
    </row>
    <row r="475" spans="1:8">
      <c r="A475" s="97" t="s">
        <v>90</v>
      </c>
      <c r="B475" s="97" t="s">
        <v>106</v>
      </c>
      <c r="C475" s="97" t="s">
        <v>13</v>
      </c>
      <c r="D475" s="97">
        <v>0</v>
      </c>
      <c r="E475" s="97">
        <v>0</v>
      </c>
      <c r="F475" s="97">
        <v>500</v>
      </c>
      <c r="G475" s="97" t="s">
        <v>132</v>
      </c>
      <c r="H475" s="97">
        <v>1</v>
      </c>
    </row>
    <row r="476" spans="1:8">
      <c r="A476" s="97" t="s">
        <v>90</v>
      </c>
      <c r="B476" s="97" t="s">
        <v>106</v>
      </c>
      <c r="C476" s="97" t="s">
        <v>13</v>
      </c>
      <c r="D476" s="97">
        <v>0</v>
      </c>
      <c r="E476" s="97">
        <v>0</v>
      </c>
      <c r="F476" s="97">
        <v>500</v>
      </c>
      <c r="G476" s="97" t="s">
        <v>147</v>
      </c>
      <c r="H476" s="97" t="s">
        <v>149</v>
      </c>
    </row>
    <row r="477" spans="1:8">
      <c r="A477" s="97" t="s">
        <v>75</v>
      </c>
      <c r="B477" s="97" t="s">
        <v>107</v>
      </c>
      <c r="C477" s="97" t="s">
        <v>13</v>
      </c>
      <c r="D477" s="97">
        <v>0</v>
      </c>
      <c r="E477" s="97">
        <v>0</v>
      </c>
      <c r="F477" s="97">
        <v>1000</v>
      </c>
      <c r="G477" s="97" t="s">
        <v>24</v>
      </c>
      <c r="H477" s="97" t="s">
        <v>4</v>
      </c>
    </row>
    <row r="478" spans="1:8">
      <c r="A478" s="97" t="s">
        <v>75</v>
      </c>
      <c r="B478" s="97" t="s">
        <v>107</v>
      </c>
      <c r="C478" s="97" t="s">
        <v>13</v>
      </c>
      <c r="D478" s="97">
        <v>0</v>
      </c>
      <c r="E478" s="97">
        <v>0</v>
      </c>
      <c r="F478" s="97">
        <v>1000</v>
      </c>
      <c r="G478" s="97" t="s">
        <v>25</v>
      </c>
      <c r="H478" s="97" t="s">
        <v>4</v>
      </c>
    </row>
    <row r="479" spans="1:8">
      <c r="A479" s="97" t="s">
        <v>75</v>
      </c>
      <c r="B479" s="97" t="s">
        <v>107</v>
      </c>
      <c r="C479" s="97" t="s">
        <v>13</v>
      </c>
      <c r="D479" s="97">
        <v>0</v>
      </c>
      <c r="E479" s="97">
        <v>0</v>
      </c>
      <c r="F479" s="97">
        <v>1000</v>
      </c>
      <c r="G479" s="97" t="s">
        <v>26</v>
      </c>
      <c r="H479" s="97" t="s">
        <v>4</v>
      </c>
    </row>
    <row r="480" spans="1:8">
      <c r="A480" s="97" t="s">
        <v>75</v>
      </c>
      <c r="B480" s="97" t="s">
        <v>107</v>
      </c>
      <c r="C480" s="97" t="s">
        <v>13</v>
      </c>
      <c r="D480" s="97">
        <v>0</v>
      </c>
      <c r="E480" s="97">
        <v>0</v>
      </c>
      <c r="F480" s="97">
        <v>1000</v>
      </c>
      <c r="G480" s="97" t="s">
        <v>27</v>
      </c>
      <c r="H480" s="97" t="s">
        <v>10</v>
      </c>
    </row>
    <row r="481" spans="1:8">
      <c r="A481" s="97" t="s">
        <v>75</v>
      </c>
      <c r="B481" s="97" t="s">
        <v>107</v>
      </c>
      <c r="C481" s="97" t="s">
        <v>13</v>
      </c>
      <c r="D481" s="97">
        <v>0</v>
      </c>
      <c r="E481" s="97">
        <v>0</v>
      </c>
      <c r="F481" s="97">
        <v>1000</v>
      </c>
      <c r="G481" s="97" t="s">
        <v>28</v>
      </c>
      <c r="H481" s="97" t="s">
        <v>4</v>
      </c>
    </row>
    <row r="482" spans="1:8">
      <c r="A482" s="97" t="s">
        <v>75</v>
      </c>
      <c r="B482" s="97" t="s">
        <v>107</v>
      </c>
      <c r="C482" s="97" t="s">
        <v>13</v>
      </c>
      <c r="D482" s="97">
        <v>0</v>
      </c>
      <c r="E482" s="97">
        <v>0</v>
      </c>
      <c r="F482" s="97">
        <v>1000</v>
      </c>
      <c r="G482" s="97" t="s">
        <v>29</v>
      </c>
      <c r="H482" s="97" t="s">
        <v>4</v>
      </c>
    </row>
    <row r="483" spans="1:8">
      <c r="A483" s="97" t="s">
        <v>75</v>
      </c>
      <c r="B483" s="97" t="s">
        <v>107</v>
      </c>
      <c r="C483" s="97" t="s">
        <v>13</v>
      </c>
      <c r="D483" s="97">
        <v>0</v>
      </c>
      <c r="E483" s="97">
        <v>0</v>
      </c>
      <c r="F483" s="97">
        <v>1000</v>
      </c>
      <c r="G483" s="97" t="s">
        <v>30</v>
      </c>
      <c r="H483" s="97" t="s">
        <v>4</v>
      </c>
    </row>
    <row r="484" spans="1:8">
      <c r="A484" s="97" t="s">
        <v>75</v>
      </c>
      <c r="B484" s="97" t="s">
        <v>107</v>
      </c>
      <c r="C484" s="97" t="s">
        <v>13</v>
      </c>
      <c r="D484" s="97">
        <v>0</v>
      </c>
      <c r="E484" s="97">
        <v>0</v>
      </c>
      <c r="F484" s="97">
        <v>1000</v>
      </c>
      <c r="G484" s="97" t="s">
        <v>31</v>
      </c>
      <c r="H484" s="97" t="s">
        <v>10</v>
      </c>
    </row>
    <row r="485" spans="1:8">
      <c r="A485" s="97" t="s">
        <v>75</v>
      </c>
      <c r="B485" s="97" t="s">
        <v>107</v>
      </c>
      <c r="C485" s="97" t="s">
        <v>13</v>
      </c>
      <c r="D485" s="97">
        <v>0</v>
      </c>
      <c r="E485" s="97">
        <v>0</v>
      </c>
      <c r="F485" s="97">
        <v>1000</v>
      </c>
      <c r="G485" s="97" t="s">
        <v>32</v>
      </c>
      <c r="H485" s="97" t="s">
        <v>4</v>
      </c>
    </row>
    <row r="486" spans="1:8">
      <c r="A486" s="97" t="s">
        <v>75</v>
      </c>
      <c r="B486" s="97" t="s">
        <v>107</v>
      </c>
      <c r="C486" s="97" t="s">
        <v>13</v>
      </c>
      <c r="D486" s="97">
        <v>0</v>
      </c>
      <c r="E486" s="97">
        <v>0</v>
      </c>
      <c r="F486" s="97">
        <v>1000</v>
      </c>
      <c r="G486" s="97" t="s">
        <v>33</v>
      </c>
      <c r="H486" s="97" t="s">
        <v>4</v>
      </c>
    </row>
    <row r="487" spans="1:8">
      <c r="A487" s="97" t="s">
        <v>75</v>
      </c>
      <c r="B487" s="97" t="s">
        <v>107</v>
      </c>
      <c r="C487" s="97" t="s">
        <v>13</v>
      </c>
      <c r="D487" s="97">
        <v>0</v>
      </c>
      <c r="E487" s="97">
        <v>0</v>
      </c>
      <c r="F487" s="97">
        <v>1000</v>
      </c>
      <c r="G487" s="97" t="s">
        <v>34</v>
      </c>
      <c r="H487" s="97" t="s">
        <v>4</v>
      </c>
    </row>
    <row r="488" spans="1:8">
      <c r="A488" s="97" t="s">
        <v>75</v>
      </c>
      <c r="B488" s="97" t="s">
        <v>107</v>
      </c>
      <c r="C488" s="97" t="s">
        <v>13</v>
      </c>
      <c r="D488" s="97">
        <v>0</v>
      </c>
      <c r="E488" s="97">
        <v>0</v>
      </c>
      <c r="F488" s="97">
        <v>1000</v>
      </c>
      <c r="G488" s="97" t="s">
        <v>129</v>
      </c>
      <c r="H488" s="97">
        <v>1000</v>
      </c>
    </row>
    <row r="489" spans="1:8">
      <c r="A489" s="97" t="s">
        <v>75</v>
      </c>
      <c r="B489" s="97" t="s">
        <v>107</v>
      </c>
      <c r="C489" s="97" t="s">
        <v>13</v>
      </c>
      <c r="D489" s="97">
        <v>0</v>
      </c>
      <c r="E489" s="97">
        <v>0</v>
      </c>
      <c r="F489" s="97">
        <v>1000</v>
      </c>
      <c r="G489" s="97" t="s">
        <v>132</v>
      </c>
      <c r="H489" s="97">
        <v>2</v>
      </c>
    </row>
    <row r="490" spans="1:8">
      <c r="A490" s="97" t="s">
        <v>75</v>
      </c>
      <c r="B490" s="97" t="s">
        <v>107</v>
      </c>
      <c r="C490" s="97" t="s">
        <v>13</v>
      </c>
      <c r="D490" s="97">
        <v>0</v>
      </c>
      <c r="E490" s="97">
        <v>0</v>
      </c>
      <c r="F490" s="97">
        <v>1000</v>
      </c>
      <c r="G490" s="97" t="s">
        <v>147</v>
      </c>
      <c r="H490" s="97" t="s">
        <v>149</v>
      </c>
    </row>
    <row r="491" spans="1:8">
      <c r="A491" s="97" t="s">
        <v>44</v>
      </c>
      <c r="B491" s="97" t="s">
        <v>106</v>
      </c>
      <c r="C491" s="97" t="s">
        <v>16</v>
      </c>
      <c r="D491" s="97">
        <v>0</v>
      </c>
      <c r="E491" s="97">
        <v>0</v>
      </c>
      <c r="F491" s="97">
        <v>0</v>
      </c>
      <c r="G491" s="97" t="s">
        <v>24</v>
      </c>
      <c r="H491" s="97" t="s">
        <v>4</v>
      </c>
    </row>
    <row r="492" spans="1:8">
      <c r="A492" s="97" t="s">
        <v>44</v>
      </c>
      <c r="B492" s="97" t="s">
        <v>106</v>
      </c>
      <c r="C492" s="97" t="s">
        <v>16</v>
      </c>
      <c r="D492" s="97">
        <v>0</v>
      </c>
      <c r="E492" s="97">
        <v>0</v>
      </c>
      <c r="F492" s="97">
        <v>0</v>
      </c>
      <c r="G492" s="97" t="s">
        <v>25</v>
      </c>
      <c r="H492" s="97" t="s">
        <v>4</v>
      </c>
    </row>
    <row r="493" spans="1:8">
      <c r="A493" s="97" t="s">
        <v>44</v>
      </c>
      <c r="B493" s="97" t="s">
        <v>106</v>
      </c>
      <c r="C493" s="97" t="s">
        <v>16</v>
      </c>
      <c r="D493" s="97">
        <v>0</v>
      </c>
      <c r="E493" s="97">
        <v>0</v>
      </c>
      <c r="F493" s="97">
        <v>0</v>
      </c>
      <c r="G493" s="97" t="s">
        <v>26</v>
      </c>
      <c r="H493" s="97" t="s">
        <v>4</v>
      </c>
    </row>
    <row r="494" spans="1:8">
      <c r="A494" s="97" t="s">
        <v>44</v>
      </c>
      <c r="B494" s="97" t="s">
        <v>106</v>
      </c>
      <c r="C494" s="97" t="s">
        <v>16</v>
      </c>
      <c r="D494" s="97">
        <v>0</v>
      </c>
      <c r="E494" s="97">
        <v>0</v>
      </c>
      <c r="F494" s="97">
        <v>0</v>
      </c>
      <c r="G494" s="97" t="s">
        <v>27</v>
      </c>
      <c r="H494" s="97" t="s">
        <v>8</v>
      </c>
    </row>
    <row r="495" spans="1:8">
      <c r="A495" s="97" t="s">
        <v>44</v>
      </c>
      <c r="B495" s="97" t="s">
        <v>106</v>
      </c>
      <c r="C495" s="97" t="s">
        <v>16</v>
      </c>
      <c r="D495" s="97">
        <v>0</v>
      </c>
      <c r="E495" s="97">
        <v>0</v>
      </c>
      <c r="F495" s="97">
        <v>0</v>
      </c>
      <c r="G495" s="97" t="s">
        <v>28</v>
      </c>
      <c r="H495" s="97" t="s">
        <v>4</v>
      </c>
    </row>
    <row r="496" spans="1:8">
      <c r="A496" s="97" t="s">
        <v>44</v>
      </c>
      <c r="B496" s="97" t="s">
        <v>106</v>
      </c>
      <c r="C496" s="97" t="s">
        <v>16</v>
      </c>
      <c r="D496" s="97">
        <v>0</v>
      </c>
      <c r="E496" s="97">
        <v>0</v>
      </c>
      <c r="F496" s="97">
        <v>0</v>
      </c>
      <c r="G496" s="97" t="s">
        <v>29</v>
      </c>
      <c r="H496" s="97" t="s">
        <v>4</v>
      </c>
    </row>
    <row r="497" spans="1:8">
      <c r="A497" s="97" t="s">
        <v>44</v>
      </c>
      <c r="B497" s="97" t="s">
        <v>106</v>
      </c>
      <c r="C497" s="97" t="s">
        <v>16</v>
      </c>
      <c r="D497" s="97">
        <v>0</v>
      </c>
      <c r="E497" s="97">
        <v>0</v>
      </c>
      <c r="F497" s="97">
        <v>0</v>
      </c>
      <c r="G497" s="97" t="s">
        <v>30</v>
      </c>
      <c r="H497" s="97" t="s">
        <v>4</v>
      </c>
    </row>
    <row r="498" spans="1:8">
      <c r="A498" s="97" t="s">
        <v>44</v>
      </c>
      <c r="B498" s="97" t="s">
        <v>106</v>
      </c>
      <c r="C498" s="97" t="s">
        <v>16</v>
      </c>
      <c r="D498" s="97">
        <v>0</v>
      </c>
      <c r="E498" s="97">
        <v>0</v>
      </c>
      <c r="F498" s="97">
        <v>0</v>
      </c>
      <c r="G498" s="97" t="s">
        <v>31</v>
      </c>
      <c r="H498" s="97" t="s">
        <v>4</v>
      </c>
    </row>
    <row r="499" spans="1:8">
      <c r="A499" s="97" t="s">
        <v>44</v>
      </c>
      <c r="B499" s="97" t="s">
        <v>106</v>
      </c>
      <c r="C499" s="97" t="s">
        <v>16</v>
      </c>
      <c r="D499" s="97">
        <v>0</v>
      </c>
      <c r="E499" s="97">
        <v>0</v>
      </c>
      <c r="F499" s="97">
        <v>0</v>
      </c>
      <c r="G499" s="97" t="s">
        <v>32</v>
      </c>
      <c r="H499" s="97" t="s">
        <v>8</v>
      </c>
    </row>
    <row r="500" spans="1:8">
      <c r="A500" s="97" t="s">
        <v>44</v>
      </c>
      <c r="B500" s="97" t="s">
        <v>106</v>
      </c>
      <c r="C500" s="97" t="s">
        <v>16</v>
      </c>
      <c r="D500" s="97">
        <v>0</v>
      </c>
      <c r="E500" s="97">
        <v>0</v>
      </c>
      <c r="F500" s="97">
        <v>0</v>
      </c>
      <c r="G500" s="97" t="s">
        <v>33</v>
      </c>
      <c r="H500" s="97" t="s">
        <v>8</v>
      </c>
    </row>
    <row r="501" spans="1:8">
      <c r="A501" s="97" t="s">
        <v>44</v>
      </c>
      <c r="B501" s="97" t="s">
        <v>106</v>
      </c>
      <c r="C501" s="97" t="s">
        <v>16</v>
      </c>
      <c r="D501" s="97">
        <v>0</v>
      </c>
      <c r="E501" s="97">
        <v>0</v>
      </c>
      <c r="F501" s="97">
        <v>0</v>
      </c>
      <c r="G501" s="97" t="s">
        <v>34</v>
      </c>
      <c r="H501" s="97" t="s">
        <v>4</v>
      </c>
    </row>
    <row r="502" spans="1:8">
      <c r="A502" s="97" t="s">
        <v>44</v>
      </c>
      <c r="B502" s="97" t="s">
        <v>106</v>
      </c>
      <c r="C502" s="97" t="s">
        <v>16</v>
      </c>
      <c r="D502" s="97">
        <v>0</v>
      </c>
      <c r="E502" s="97">
        <v>0</v>
      </c>
      <c r="F502" s="97">
        <v>0</v>
      </c>
      <c r="G502" s="97" t="s">
        <v>129</v>
      </c>
      <c r="H502" s="97">
        <v>0</v>
      </c>
    </row>
    <row r="503" spans="1:8">
      <c r="A503" s="97" t="s">
        <v>44</v>
      </c>
      <c r="B503" s="97" t="s">
        <v>106</v>
      </c>
      <c r="C503" s="97" t="s">
        <v>16</v>
      </c>
      <c r="D503" s="97">
        <v>0</v>
      </c>
      <c r="E503" s="97">
        <v>0</v>
      </c>
      <c r="F503" s="97">
        <v>0</v>
      </c>
      <c r="G503" s="97" t="s">
        <v>132</v>
      </c>
      <c r="H503" s="97">
        <v>0</v>
      </c>
    </row>
    <row r="504" spans="1:8">
      <c r="A504" s="97" t="s">
        <v>44</v>
      </c>
      <c r="B504" s="97" t="s">
        <v>106</v>
      </c>
      <c r="C504" s="97" t="s">
        <v>16</v>
      </c>
      <c r="D504" s="97">
        <v>0</v>
      </c>
      <c r="E504" s="97">
        <v>0</v>
      </c>
      <c r="F504" s="97">
        <v>0</v>
      </c>
      <c r="G504" s="97" t="s">
        <v>147</v>
      </c>
      <c r="H504" s="97" t="s">
        <v>148</v>
      </c>
    </row>
    <row r="505" spans="1:8">
      <c r="A505" s="97" t="s">
        <v>100</v>
      </c>
      <c r="B505" s="97" t="s">
        <v>106</v>
      </c>
      <c r="C505" s="97" t="s">
        <v>13</v>
      </c>
      <c r="D505" s="97">
        <v>600</v>
      </c>
      <c r="E505" s="97">
        <v>0</v>
      </c>
      <c r="F505" s="97">
        <v>1000</v>
      </c>
      <c r="G505" s="97" t="s">
        <v>24</v>
      </c>
      <c r="H505" s="97" t="s">
        <v>4</v>
      </c>
    </row>
    <row r="506" spans="1:8">
      <c r="A506" s="97" t="s">
        <v>100</v>
      </c>
      <c r="B506" s="97" t="s">
        <v>106</v>
      </c>
      <c r="C506" s="97" t="s">
        <v>13</v>
      </c>
      <c r="D506" s="97">
        <v>600</v>
      </c>
      <c r="E506" s="97">
        <v>0</v>
      </c>
      <c r="F506" s="97">
        <v>1000</v>
      </c>
      <c r="G506" s="97" t="s">
        <v>25</v>
      </c>
      <c r="H506" s="97" t="s">
        <v>6</v>
      </c>
    </row>
    <row r="507" spans="1:8">
      <c r="A507" s="97" t="s">
        <v>100</v>
      </c>
      <c r="B507" s="97" t="s">
        <v>106</v>
      </c>
      <c r="C507" s="97" t="s">
        <v>13</v>
      </c>
      <c r="D507" s="97">
        <v>600</v>
      </c>
      <c r="E507" s="97">
        <v>0</v>
      </c>
      <c r="F507" s="97">
        <v>1000</v>
      </c>
      <c r="G507" s="97" t="s">
        <v>26</v>
      </c>
      <c r="H507" s="97" t="s">
        <v>4</v>
      </c>
    </row>
    <row r="508" spans="1:8">
      <c r="A508" s="97" t="s">
        <v>100</v>
      </c>
      <c r="B508" s="97" t="s">
        <v>106</v>
      </c>
      <c r="C508" s="97" t="s">
        <v>13</v>
      </c>
      <c r="D508" s="97">
        <v>600</v>
      </c>
      <c r="E508" s="97">
        <v>0</v>
      </c>
      <c r="F508" s="97">
        <v>1000</v>
      </c>
      <c r="G508" s="97" t="s">
        <v>27</v>
      </c>
      <c r="H508" s="97" t="s">
        <v>10</v>
      </c>
    </row>
    <row r="509" spans="1:8">
      <c r="A509" s="97" t="s">
        <v>100</v>
      </c>
      <c r="B509" s="97" t="s">
        <v>106</v>
      </c>
      <c r="C509" s="97" t="s">
        <v>13</v>
      </c>
      <c r="D509" s="97">
        <v>600</v>
      </c>
      <c r="E509" s="97">
        <v>0</v>
      </c>
      <c r="F509" s="97">
        <v>1000</v>
      </c>
      <c r="G509" s="97" t="s">
        <v>28</v>
      </c>
      <c r="H509" s="97" t="s">
        <v>10</v>
      </c>
    </row>
    <row r="510" spans="1:8">
      <c r="A510" s="97" t="s">
        <v>100</v>
      </c>
      <c r="B510" s="97" t="s">
        <v>106</v>
      </c>
      <c r="C510" s="97" t="s">
        <v>13</v>
      </c>
      <c r="D510" s="97">
        <v>600</v>
      </c>
      <c r="E510" s="97">
        <v>0</v>
      </c>
      <c r="F510" s="97">
        <v>1000</v>
      </c>
      <c r="G510" s="97" t="s">
        <v>29</v>
      </c>
      <c r="H510" s="97" t="s">
        <v>6</v>
      </c>
    </row>
    <row r="511" spans="1:8">
      <c r="A511" s="97" t="s">
        <v>100</v>
      </c>
      <c r="B511" s="97" t="s">
        <v>106</v>
      </c>
      <c r="C511" s="97" t="s">
        <v>13</v>
      </c>
      <c r="D511" s="97">
        <v>600</v>
      </c>
      <c r="E511" s="97">
        <v>0</v>
      </c>
      <c r="F511" s="97">
        <v>1000</v>
      </c>
      <c r="G511" s="97" t="s">
        <v>30</v>
      </c>
      <c r="H511" s="97" t="s">
        <v>4</v>
      </c>
    </row>
    <row r="512" spans="1:8">
      <c r="A512" s="97" t="s">
        <v>100</v>
      </c>
      <c r="B512" s="97" t="s">
        <v>106</v>
      </c>
      <c r="C512" s="97" t="s">
        <v>13</v>
      </c>
      <c r="D512" s="97">
        <v>600</v>
      </c>
      <c r="E512" s="97">
        <v>0</v>
      </c>
      <c r="F512" s="97">
        <v>1000</v>
      </c>
      <c r="G512" s="97" t="s">
        <v>31</v>
      </c>
      <c r="H512" s="97" t="s">
        <v>4</v>
      </c>
    </row>
    <row r="513" spans="1:8">
      <c r="A513" s="97" t="s">
        <v>100</v>
      </c>
      <c r="B513" s="97" t="s">
        <v>106</v>
      </c>
      <c r="C513" s="97" t="s">
        <v>13</v>
      </c>
      <c r="D513" s="97">
        <v>600</v>
      </c>
      <c r="E513" s="97">
        <v>0</v>
      </c>
      <c r="F513" s="97">
        <v>1000</v>
      </c>
      <c r="G513" s="97" t="s">
        <v>32</v>
      </c>
      <c r="H513" s="97" t="s">
        <v>4</v>
      </c>
    </row>
    <row r="514" spans="1:8">
      <c r="A514" s="97" t="s">
        <v>100</v>
      </c>
      <c r="B514" s="97" t="s">
        <v>106</v>
      </c>
      <c r="C514" s="97" t="s">
        <v>13</v>
      </c>
      <c r="D514" s="97">
        <v>600</v>
      </c>
      <c r="E514" s="97">
        <v>0</v>
      </c>
      <c r="F514" s="97">
        <v>1000</v>
      </c>
      <c r="G514" s="97" t="s">
        <v>33</v>
      </c>
      <c r="H514" s="97" t="s">
        <v>4</v>
      </c>
    </row>
    <row r="515" spans="1:8">
      <c r="A515" s="97" t="s">
        <v>100</v>
      </c>
      <c r="B515" s="97" t="s">
        <v>106</v>
      </c>
      <c r="C515" s="97" t="s">
        <v>13</v>
      </c>
      <c r="D515" s="97">
        <v>600</v>
      </c>
      <c r="E515" s="97">
        <v>0</v>
      </c>
      <c r="F515" s="97">
        <v>1000</v>
      </c>
      <c r="G515" s="97" t="s">
        <v>34</v>
      </c>
      <c r="H515" s="97" t="s">
        <v>4</v>
      </c>
    </row>
    <row r="516" spans="1:8">
      <c r="A516" s="97" t="s">
        <v>100</v>
      </c>
      <c r="B516" s="97" t="s">
        <v>106</v>
      </c>
      <c r="C516" s="97" t="s">
        <v>13</v>
      </c>
      <c r="D516" s="97">
        <v>600</v>
      </c>
      <c r="E516" s="97">
        <v>0</v>
      </c>
      <c r="F516" s="97">
        <v>1000</v>
      </c>
      <c r="G516" s="97" t="s">
        <v>129</v>
      </c>
      <c r="H516" s="97">
        <v>1600</v>
      </c>
    </row>
    <row r="517" spans="1:8">
      <c r="A517" s="97" t="s">
        <v>100</v>
      </c>
      <c r="B517" s="97" t="s">
        <v>106</v>
      </c>
      <c r="C517" s="97" t="s">
        <v>13</v>
      </c>
      <c r="D517" s="97">
        <v>600</v>
      </c>
      <c r="E517" s="97">
        <v>0</v>
      </c>
      <c r="F517" s="97">
        <v>1000</v>
      </c>
      <c r="G517" s="97" t="s">
        <v>132</v>
      </c>
      <c r="H517" s="97">
        <v>2</v>
      </c>
    </row>
    <row r="518" spans="1:8">
      <c r="A518" s="97" t="s">
        <v>100</v>
      </c>
      <c r="B518" s="97" t="s">
        <v>106</v>
      </c>
      <c r="C518" s="97" t="s">
        <v>13</v>
      </c>
      <c r="D518" s="97">
        <v>600</v>
      </c>
      <c r="E518" s="97">
        <v>0</v>
      </c>
      <c r="F518" s="97">
        <v>1000</v>
      </c>
      <c r="G518" s="97" t="s">
        <v>147</v>
      </c>
      <c r="H518" s="97" t="s">
        <v>149</v>
      </c>
    </row>
    <row r="519" spans="1:8">
      <c r="A519" s="97" t="s">
        <v>65</v>
      </c>
      <c r="B519" s="97" t="s">
        <v>106</v>
      </c>
      <c r="C519" s="97" t="s">
        <v>16</v>
      </c>
      <c r="D519" s="97">
        <v>0</v>
      </c>
      <c r="E519" s="97">
        <v>0</v>
      </c>
      <c r="F519" s="97">
        <v>0</v>
      </c>
      <c r="G519" s="97" t="s">
        <v>24</v>
      </c>
      <c r="H519" s="97" t="s">
        <v>4</v>
      </c>
    </row>
    <row r="520" spans="1:8">
      <c r="A520" s="97" t="s">
        <v>65</v>
      </c>
      <c r="B520" s="97" t="s">
        <v>106</v>
      </c>
      <c r="C520" s="97" t="s">
        <v>16</v>
      </c>
      <c r="D520" s="97">
        <v>0</v>
      </c>
      <c r="E520" s="97">
        <v>0</v>
      </c>
      <c r="F520" s="97">
        <v>0</v>
      </c>
      <c r="G520" s="97" t="s">
        <v>25</v>
      </c>
      <c r="H520" s="97" t="s">
        <v>4</v>
      </c>
    </row>
    <row r="521" spans="1:8">
      <c r="A521" s="97" t="s">
        <v>65</v>
      </c>
      <c r="B521" s="97" t="s">
        <v>106</v>
      </c>
      <c r="C521" s="97" t="s">
        <v>16</v>
      </c>
      <c r="D521" s="97">
        <v>0</v>
      </c>
      <c r="E521" s="97">
        <v>0</v>
      </c>
      <c r="F521" s="97">
        <v>0</v>
      </c>
      <c r="G521" s="97" t="s">
        <v>26</v>
      </c>
      <c r="H521" s="97" t="s">
        <v>4</v>
      </c>
    </row>
    <row r="522" spans="1:8">
      <c r="A522" s="97" t="s">
        <v>65</v>
      </c>
      <c r="B522" s="97" t="s">
        <v>106</v>
      </c>
      <c r="C522" s="97" t="s">
        <v>16</v>
      </c>
      <c r="D522" s="97">
        <v>0</v>
      </c>
      <c r="E522" s="97">
        <v>0</v>
      </c>
      <c r="F522" s="97">
        <v>0</v>
      </c>
      <c r="G522" s="97" t="s">
        <v>27</v>
      </c>
      <c r="H522" s="97" t="s">
        <v>4</v>
      </c>
    </row>
    <row r="523" spans="1:8">
      <c r="A523" s="97" t="s">
        <v>65</v>
      </c>
      <c r="B523" s="97" t="s">
        <v>106</v>
      </c>
      <c r="C523" s="97" t="s">
        <v>16</v>
      </c>
      <c r="D523" s="97">
        <v>0</v>
      </c>
      <c r="E523" s="97">
        <v>0</v>
      </c>
      <c r="F523" s="97">
        <v>0</v>
      </c>
      <c r="G523" s="97" t="s">
        <v>28</v>
      </c>
      <c r="H523" s="97" t="s">
        <v>4</v>
      </c>
    </row>
    <row r="524" spans="1:8">
      <c r="A524" s="97" t="s">
        <v>65</v>
      </c>
      <c r="B524" s="97" t="s">
        <v>106</v>
      </c>
      <c r="C524" s="97" t="s">
        <v>16</v>
      </c>
      <c r="D524" s="97">
        <v>0</v>
      </c>
      <c r="E524" s="97">
        <v>0</v>
      </c>
      <c r="F524" s="97">
        <v>0</v>
      </c>
      <c r="G524" s="97" t="s">
        <v>29</v>
      </c>
      <c r="H524" s="97" t="s">
        <v>8</v>
      </c>
    </row>
    <row r="525" spans="1:8">
      <c r="A525" s="97" t="s">
        <v>65</v>
      </c>
      <c r="B525" s="97" t="s">
        <v>106</v>
      </c>
      <c r="C525" s="97" t="s">
        <v>16</v>
      </c>
      <c r="D525" s="97">
        <v>0</v>
      </c>
      <c r="E525" s="97">
        <v>0</v>
      </c>
      <c r="F525" s="97">
        <v>0</v>
      </c>
      <c r="G525" s="97" t="s">
        <v>30</v>
      </c>
      <c r="H525" s="97" t="s">
        <v>4</v>
      </c>
    </row>
    <row r="526" spans="1:8">
      <c r="A526" s="97" t="s">
        <v>65</v>
      </c>
      <c r="B526" s="97" t="s">
        <v>106</v>
      </c>
      <c r="C526" s="97" t="s">
        <v>16</v>
      </c>
      <c r="D526" s="97">
        <v>0</v>
      </c>
      <c r="E526" s="97">
        <v>0</v>
      </c>
      <c r="F526" s="97">
        <v>0</v>
      </c>
      <c r="G526" s="97" t="s">
        <v>31</v>
      </c>
      <c r="H526" s="97" t="s">
        <v>4</v>
      </c>
    </row>
    <row r="527" spans="1:8">
      <c r="A527" s="97" t="s">
        <v>65</v>
      </c>
      <c r="B527" s="97" t="s">
        <v>106</v>
      </c>
      <c r="C527" s="97" t="s">
        <v>16</v>
      </c>
      <c r="D527" s="97">
        <v>0</v>
      </c>
      <c r="E527" s="97">
        <v>0</v>
      </c>
      <c r="F527" s="97">
        <v>0</v>
      </c>
      <c r="G527" s="97" t="s">
        <v>32</v>
      </c>
      <c r="H527" s="97" t="s">
        <v>4</v>
      </c>
    </row>
    <row r="528" spans="1:8">
      <c r="A528" s="97" t="s">
        <v>65</v>
      </c>
      <c r="B528" s="97" t="s">
        <v>106</v>
      </c>
      <c r="C528" s="97" t="s">
        <v>16</v>
      </c>
      <c r="D528" s="97">
        <v>0</v>
      </c>
      <c r="E528" s="97">
        <v>0</v>
      </c>
      <c r="F528" s="97">
        <v>0</v>
      </c>
      <c r="G528" s="97" t="s">
        <v>33</v>
      </c>
      <c r="H528" s="97" t="s">
        <v>4</v>
      </c>
    </row>
    <row r="529" spans="1:8">
      <c r="A529" s="97" t="s">
        <v>65</v>
      </c>
      <c r="B529" s="97" t="s">
        <v>106</v>
      </c>
      <c r="C529" s="97" t="s">
        <v>16</v>
      </c>
      <c r="D529" s="97">
        <v>0</v>
      </c>
      <c r="E529" s="97">
        <v>0</v>
      </c>
      <c r="F529" s="97">
        <v>0</v>
      </c>
      <c r="G529" s="97" t="s">
        <v>34</v>
      </c>
      <c r="H529" s="97" t="s">
        <v>4</v>
      </c>
    </row>
    <row r="530" spans="1:8">
      <c r="A530" s="97" t="s">
        <v>65</v>
      </c>
      <c r="B530" s="97" t="s">
        <v>106</v>
      </c>
      <c r="C530" s="97" t="s">
        <v>16</v>
      </c>
      <c r="D530" s="97">
        <v>0</v>
      </c>
      <c r="E530" s="97">
        <v>0</v>
      </c>
      <c r="F530" s="97">
        <v>0</v>
      </c>
      <c r="G530" s="97" t="s">
        <v>129</v>
      </c>
      <c r="H530" s="97">
        <v>0</v>
      </c>
    </row>
    <row r="531" spans="1:8">
      <c r="A531" s="97" t="s">
        <v>65</v>
      </c>
      <c r="B531" s="97" t="s">
        <v>106</v>
      </c>
      <c r="C531" s="97" t="s">
        <v>16</v>
      </c>
      <c r="D531" s="97">
        <v>0</v>
      </c>
      <c r="E531" s="97">
        <v>0</v>
      </c>
      <c r="F531" s="97">
        <v>0</v>
      </c>
      <c r="G531" s="97" t="s">
        <v>132</v>
      </c>
      <c r="H531" s="97">
        <v>0</v>
      </c>
    </row>
    <row r="532" spans="1:8">
      <c r="A532" s="97" t="s">
        <v>65</v>
      </c>
      <c r="B532" s="97" t="s">
        <v>106</v>
      </c>
      <c r="C532" s="97" t="s">
        <v>16</v>
      </c>
      <c r="D532" s="97">
        <v>0</v>
      </c>
      <c r="E532" s="97">
        <v>0</v>
      </c>
      <c r="F532" s="97">
        <v>0</v>
      </c>
      <c r="G532" s="97" t="s">
        <v>147</v>
      </c>
      <c r="H532" s="97" t="s">
        <v>148</v>
      </c>
    </row>
    <row r="533" spans="1:8">
      <c r="A533" s="97" t="s">
        <v>49</v>
      </c>
      <c r="B533" s="97" t="s">
        <v>107</v>
      </c>
      <c r="C533" s="97" t="s">
        <v>12</v>
      </c>
      <c r="D533" s="97">
        <v>600</v>
      </c>
      <c r="E533" s="97">
        <v>0</v>
      </c>
      <c r="F533" s="97">
        <v>0</v>
      </c>
      <c r="G533" s="97" t="s">
        <v>24</v>
      </c>
      <c r="H533" s="97" t="s">
        <v>4</v>
      </c>
    </row>
    <row r="534" spans="1:8">
      <c r="A534" s="97" t="s">
        <v>49</v>
      </c>
      <c r="B534" s="97" t="s">
        <v>107</v>
      </c>
      <c r="C534" s="97" t="s">
        <v>12</v>
      </c>
      <c r="D534" s="97">
        <v>600</v>
      </c>
      <c r="E534" s="97">
        <v>0</v>
      </c>
      <c r="F534" s="97">
        <v>0</v>
      </c>
      <c r="G534" s="97" t="s">
        <v>25</v>
      </c>
      <c r="H534" s="97" t="s">
        <v>4</v>
      </c>
    </row>
    <row r="535" spans="1:8">
      <c r="A535" s="97" t="s">
        <v>49</v>
      </c>
      <c r="B535" s="97" t="s">
        <v>107</v>
      </c>
      <c r="C535" s="97" t="s">
        <v>12</v>
      </c>
      <c r="D535" s="97">
        <v>600</v>
      </c>
      <c r="E535" s="97">
        <v>0</v>
      </c>
      <c r="F535" s="97">
        <v>0</v>
      </c>
      <c r="G535" s="97" t="s">
        <v>26</v>
      </c>
      <c r="H535" s="97" t="s">
        <v>4</v>
      </c>
    </row>
    <row r="536" spans="1:8">
      <c r="A536" s="97" t="s">
        <v>49</v>
      </c>
      <c r="B536" s="97" t="s">
        <v>107</v>
      </c>
      <c r="C536" s="97" t="s">
        <v>12</v>
      </c>
      <c r="D536" s="97">
        <v>600</v>
      </c>
      <c r="E536" s="97">
        <v>0</v>
      </c>
      <c r="F536" s="97">
        <v>0</v>
      </c>
      <c r="G536" s="97" t="s">
        <v>27</v>
      </c>
      <c r="H536" s="97" t="s">
        <v>4</v>
      </c>
    </row>
    <row r="537" spans="1:8">
      <c r="A537" s="97" t="s">
        <v>49</v>
      </c>
      <c r="B537" s="97" t="s">
        <v>107</v>
      </c>
      <c r="C537" s="97" t="s">
        <v>12</v>
      </c>
      <c r="D537" s="97">
        <v>600</v>
      </c>
      <c r="E537" s="97">
        <v>0</v>
      </c>
      <c r="F537" s="97">
        <v>0</v>
      </c>
      <c r="G537" s="97" t="s">
        <v>28</v>
      </c>
      <c r="H537" s="97" t="s">
        <v>4</v>
      </c>
    </row>
    <row r="538" spans="1:8">
      <c r="A538" s="97" t="s">
        <v>49</v>
      </c>
      <c r="B538" s="97" t="s">
        <v>107</v>
      </c>
      <c r="C538" s="97" t="s">
        <v>12</v>
      </c>
      <c r="D538" s="97">
        <v>600</v>
      </c>
      <c r="E538" s="97">
        <v>0</v>
      </c>
      <c r="F538" s="97">
        <v>0</v>
      </c>
      <c r="G538" s="97" t="s">
        <v>29</v>
      </c>
      <c r="H538" s="97" t="s">
        <v>4</v>
      </c>
    </row>
    <row r="539" spans="1:8">
      <c r="A539" s="97" t="s">
        <v>49</v>
      </c>
      <c r="B539" s="97" t="s">
        <v>107</v>
      </c>
      <c r="C539" s="97" t="s">
        <v>12</v>
      </c>
      <c r="D539" s="97">
        <v>600</v>
      </c>
      <c r="E539" s="97">
        <v>0</v>
      </c>
      <c r="F539" s="97">
        <v>0</v>
      </c>
      <c r="G539" s="97" t="s">
        <v>30</v>
      </c>
      <c r="H539" s="97" t="s">
        <v>6</v>
      </c>
    </row>
    <row r="540" spans="1:8">
      <c r="A540" s="97" t="s">
        <v>49</v>
      </c>
      <c r="B540" s="97" t="s">
        <v>107</v>
      </c>
      <c r="C540" s="97" t="s">
        <v>12</v>
      </c>
      <c r="D540" s="97">
        <v>600</v>
      </c>
      <c r="E540" s="97">
        <v>0</v>
      </c>
      <c r="F540" s="97">
        <v>0</v>
      </c>
      <c r="G540" s="97" t="s">
        <v>31</v>
      </c>
      <c r="H540" s="97" t="s">
        <v>6</v>
      </c>
    </row>
    <row r="541" spans="1:8">
      <c r="A541" s="97" t="s">
        <v>49</v>
      </c>
      <c r="B541" s="97" t="s">
        <v>107</v>
      </c>
      <c r="C541" s="97" t="s">
        <v>12</v>
      </c>
      <c r="D541" s="97">
        <v>600</v>
      </c>
      <c r="E541" s="97">
        <v>0</v>
      </c>
      <c r="F541" s="97">
        <v>0</v>
      </c>
      <c r="G541" s="97" t="s">
        <v>32</v>
      </c>
      <c r="H541" s="97" t="s">
        <v>4</v>
      </c>
    </row>
    <row r="542" spans="1:8">
      <c r="A542" s="97" t="s">
        <v>49</v>
      </c>
      <c r="B542" s="97" t="s">
        <v>107</v>
      </c>
      <c r="C542" s="97" t="s">
        <v>12</v>
      </c>
      <c r="D542" s="97">
        <v>600</v>
      </c>
      <c r="E542" s="97">
        <v>0</v>
      </c>
      <c r="F542" s="97">
        <v>0</v>
      </c>
      <c r="G542" s="97" t="s">
        <v>33</v>
      </c>
      <c r="H542" s="97" t="s">
        <v>4</v>
      </c>
    </row>
    <row r="543" spans="1:8">
      <c r="A543" s="97" t="s">
        <v>49</v>
      </c>
      <c r="B543" s="97" t="s">
        <v>107</v>
      </c>
      <c r="C543" s="97" t="s">
        <v>12</v>
      </c>
      <c r="D543" s="97">
        <v>600</v>
      </c>
      <c r="E543" s="97">
        <v>0</v>
      </c>
      <c r="F543" s="97">
        <v>0</v>
      </c>
      <c r="G543" s="97" t="s">
        <v>34</v>
      </c>
      <c r="H543" s="97" t="s">
        <v>4</v>
      </c>
    </row>
    <row r="544" spans="1:8">
      <c r="A544" s="97" t="s">
        <v>49</v>
      </c>
      <c r="B544" s="97" t="s">
        <v>107</v>
      </c>
      <c r="C544" s="97" t="s">
        <v>12</v>
      </c>
      <c r="D544" s="97">
        <v>600</v>
      </c>
      <c r="E544" s="97">
        <v>0</v>
      </c>
      <c r="F544" s="97">
        <v>0</v>
      </c>
      <c r="G544" s="97" t="s">
        <v>129</v>
      </c>
      <c r="H544" s="97">
        <v>600</v>
      </c>
    </row>
    <row r="545" spans="1:8">
      <c r="A545" s="97" t="s">
        <v>49</v>
      </c>
      <c r="B545" s="97" t="s">
        <v>107</v>
      </c>
      <c r="C545" s="97" t="s">
        <v>12</v>
      </c>
      <c r="D545" s="97">
        <v>600</v>
      </c>
      <c r="E545" s="97">
        <v>0</v>
      </c>
      <c r="F545" s="97">
        <v>0</v>
      </c>
      <c r="G545" s="97" t="s">
        <v>132</v>
      </c>
      <c r="H545" s="97">
        <v>0</v>
      </c>
    </row>
    <row r="546" spans="1:8">
      <c r="A546" s="97" t="s">
        <v>49</v>
      </c>
      <c r="B546" s="97" t="s">
        <v>107</v>
      </c>
      <c r="C546" s="97" t="s">
        <v>12</v>
      </c>
      <c r="D546" s="97">
        <v>600</v>
      </c>
      <c r="E546" s="97">
        <v>0</v>
      </c>
      <c r="F546" s="97">
        <v>0</v>
      </c>
      <c r="G546" s="97" t="s">
        <v>147</v>
      </c>
      <c r="H546" s="97" t="s">
        <v>148</v>
      </c>
    </row>
    <row r="547" spans="1:8">
      <c r="A547" s="97" t="s">
        <v>56</v>
      </c>
      <c r="B547" s="97" t="s">
        <v>106</v>
      </c>
      <c r="C547" s="97" t="s">
        <v>12</v>
      </c>
      <c r="D547" s="97">
        <v>300</v>
      </c>
      <c r="E547" s="97">
        <v>0</v>
      </c>
      <c r="F547" s="97">
        <v>0</v>
      </c>
      <c r="G547" s="97" t="s">
        <v>24</v>
      </c>
      <c r="H547" s="97" t="s">
        <v>4</v>
      </c>
    </row>
    <row r="548" spans="1:8">
      <c r="A548" s="97" t="s">
        <v>56</v>
      </c>
      <c r="B548" s="97" t="s">
        <v>106</v>
      </c>
      <c r="C548" s="97" t="s">
        <v>12</v>
      </c>
      <c r="D548" s="97">
        <v>300</v>
      </c>
      <c r="E548" s="97">
        <v>0</v>
      </c>
      <c r="F548" s="97">
        <v>0</v>
      </c>
      <c r="G548" s="97" t="s">
        <v>25</v>
      </c>
      <c r="H548" s="97" t="s">
        <v>4</v>
      </c>
    </row>
    <row r="549" spans="1:8">
      <c r="A549" s="97" t="s">
        <v>56</v>
      </c>
      <c r="B549" s="97" t="s">
        <v>106</v>
      </c>
      <c r="C549" s="97" t="s">
        <v>12</v>
      </c>
      <c r="D549" s="97">
        <v>300</v>
      </c>
      <c r="E549" s="97">
        <v>0</v>
      </c>
      <c r="F549" s="97">
        <v>0</v>
      </c>
      <c r="G549" s="97" t="s">
        <v>26</v>
      </c>
      <c r="H549" s="97" t="s">
        <v>4</v>
      </c>
    </row>
    <row r="550" spans="1:8">
      <c r="A550" s="97" t="s">
        <v>56</v>
      </c>
      <c r="B550" s="97" t="s">
        <v>106</v>
      </c>
      <c r="C550" s="97" t="s">
        <v>12</v>
      </c>
      <c r="D550" s="97">
        <v>300</v>
      </c>
      <c r="E550" s="97">
        <v>0</v>
      </c>
      <c r="F550" s="97">
        <v>0</v>
      </c>
      <c r="G550" s="97" t="s">
        <v>27</v>
      </c>
      <c r="H550" s="97" t="s">
        <v>4</v>
      </c>
    </row>
    <row r="551" spans="1:8">
      <c r="A551" s="97" t="s">
        <v>56</v>
      </c>
      <c r="B551" s="97" t="s">
        <v>106</v>
      </c>
      <c r="C551" s="97" t="s">
        <v>12</v>
      </c>
      <c r="D551" s="97">
        <v>300</v>
      </c>
      <c r="E551" s="97">
        <v>0</v>
      </c>
      <c r="F551" s="97">
        <v>0</v>
      </c>
      <c r="G551" s="97" t="s">
        <v>28</v>
      </c>
      <c r="H551" s="97" t="s">
        <v>6</v>
      </c>
    </row>
    <row r="552" spans="1:8">
      <c r="A552" s="97" t="s">
        <v>56</v>
      </c>
      <c r="B552" s="97" t="s">
        <v>106</v>
      </c>
      <c r="C552" s="97" t="s">
        <v>12</v>
      </c>
      <c r="D552" s="97">
        <v>300</v>
      </c>
      <c r="E552" s="97">
        <v>0</v>
      </c>
      <c r="F552" s="97">
        <v>0</v>
      </c>
      <c r="G552" s="97" t="s">
        <v>29</v>
      </c>
      <c r="H552" s="97" t="s">
        <v>4</v>
      </c>
    </row>
    <row r="553" spans="1:8">
      <c r="A553" s="97" t="s">
        <v>56</v>
      </c>
      <c r="B553" s="97" t="s">
        <v>106</v>
      </c>
      <c r="C553" s="97" t="s">
        <v>12</v>
      </c>
      <c r="D553" s="97">
        <v>300</v>
      </c>
      <c r="E553" s="97">
        <v>0</v>
      </c>
      <c r="F553" s="97">
        <v>0</v>
      </c>
      <c r="G553" s="97" t="s">
        <v>30</v>
      </c>
      <c r="H553" s="97" t="s">
        <v>4</v>
      </c>
    </row>
    <row r="554" spans="1:8">
      <c r="A554" s="97" t="s">
        <v>56</v>
      </c>
      <c r="B554" s="97" t="s">
        <v>106</v>
      </c>
      <c r="C554" s="97" t="s">
        <v>12</v>
      </c>
      <c r="D554" s="97">
        <v>300</v>
      </c>
      <c r="E554" s="97">
        <v>0</v>
      </c>
      <c r="F554" s="97">
        <v>0</v>
      </c>
      <c r="G554" s="97" t="s">
        <v>31</v>
      </c>
      <c r="H554" s="97" t="s">
        <v>4</v>
      </c>
    </row>
    <row r="555" spans="1:8">
      <c r="A555" s="97" t="s">
        <v>56</v>
      </c>
      <c r="B555" s="97" t="s">
        <v>106</v>
      </c>
      <c r="C555" s="97" t="s">
        <v>12</v>
      </c>
      <c r="D555" s="97">
        <v>300</v>
      </c>
      <c r="E555" s="97">
        <v>0</v>
      </c>
      <c r="F555" s="97">
        <v>0</v>
      </c>
      <c r="G555" s="97" t="s">
        <v>32</v>
      </c>
      <c r="H555" s="97" t="s">
        <v>4</v>
      </c>
    </row>
    <row r="556" spans="1:8">
      <c r="A556" s="97" t="s">
        <v>56</v>
      </c>
      <c r="B556" s="97" t="s">
        <v>106</v>
      </c>
      <c r="C556" s="97" t="s">
        <v>12</v>
      </c>
      <c r="D556" s="97">
        <v>300</v>
      </c>
      <c r="E556" s="97">
        <v>0</v>
      </c>
      <c r="F556" s="97">
        <v>0</v>
      </c>
      <c r="G556" s="97" t="s">
        <v>33</v>
      </c>
      <c r="H556" s="97" t="s">
        <v>4</v>
      </c>
    </row>
    <row r="557" spans="1:8">
      <c r="A557" s="97" t="s">
        <v>56</v>
      </c>
      <c r="B557" s="97" t="s">
        <v>106</v>
      </c>
      <c r="C557" s="97" t="s">
        <v>12</v>
      </c>
      <c r="D557" s="97">
        <v>300</v>
      </c>
      <c r="E557" s="97">
        <v>0</v>
      </c>
      <c r="F557" s="97">
        <v>0</v>
      </c>
      <c r="G557" s="97" t="s">
        <v>34</v>
      </c>
      <c r="H557" s="97" t="s">
        <v>4</v>
      </c>
    </row>
    <row r="558" spans="1:8">
      <c r="A558" s="97" t="s">
        <v>56</v>
      </c>
      <c r="B558" s="97" t="s">
        <v>106</v>
      </c>
      <c r="C558" s="97" t="s">
        <v>12</v>
      </c>
      <c r="D558" s="97">
        <v>300</v>
      </c>
      <c r="E558" s="97">
        <v>0</v>
      </c>
      <c r="F558" s="97">
        <v>0</v>
      </c>
      <c r="G558" s="97" t="s">
        <v>129</v>
      </c>
      <c r="H558" s="97">
        <v>300</v>
      </c>
    </row>
    <row r="559" spans="1:8">
      <c r="A559" s="97" t="s">
        <v>56</v>
      </c>
      <c r="B559" s="97" t="s">
        <v>106</v>
      </c>
      <c r="C559" s="97" t="s">
        <v>12</v>
      </c>
      <c r="D559" s="97">
        <v>300</v>
      </c>
      <c r="E559" s="97">
        <v>0</v>
      </c>
      <c r="F559" s="97">
        <v>0</v>
      </c>
      <c r="G559" s="97" t="s">
        <v>132</v>
      </c>
      <c r="H559" s="97">
        <v>0</v>
      </c>
    </row>
    <row r="560" spans="1:8">
      <c r="A560" s="97" t="s">
        <v>56</v>
      </c>
      <c r="B560" s="97" t="s">
        <v>106</v>
      </c>
      <c r="C560" s="97" t="s">
        <v>12</v>
      </c>
      <c r="D560" s="97">
        <v>300</v>
      </c>
      <c r="E560" s="97">
        <v>0</v>
      </c>
      <c r="F560" s="97">
        <v>0</v>
      </c>
      <c r="G560" s="97" t="s">
        <v>147</v>
      </c>
      <c r="H560" s="97" t="s">
        <v>148</v>
      </c>
    </row>
    <row r="561" spans="1:8">
      <c r="A561" s="97" t="s">
        <v>62</v>
      </c>
      <c r="B561" s="97" t="s">
        <v>107</v>
      </c>
      <c r="C561" s="97" t="s">
        <v>12</v>
      </c>
      <c r="D561" s="97">
        <v>300</v>
      </c>
      <c r="E561" s="97">
        <v>0</v>
      </c>
      <c r="F561" s="97">
        <v>500</v>
      </c>
      <c r="G561" s="97" t="s">
        <v>24</v>
      </c>
      <c r="H561" s="97" t="s">
        <v>4</v>
      </c>
    </row>
    <row r="562" spans="1:8">
      <c r="A562" s="97" t="s">
        <v>62</v>
      </c>
      <c r="B562" s="97" t="s">
        <v>107</v>
      </c>
      <c r="C562" s="97" t="s">
        <v>12</v>
      </c>
      <c r="D562" s="97">
        <v>300</v>
      </c>
      <c r="E562" s="97">
        <v>0</v>
      </c>
      <c r="F562" s="97">
        <v>500</v>
      </c>
      <c r="G562" s="97" t="s">
        <v>25</v>
      </c>
      <c r="H562" s="97" t="s">
        <v>4</v>
      </c>
    </row>
    <row r="563" spans="1:8">
      <c r="A563" s="97" t="s">
        <v>62</v>
      </c>
      <c r="B563" s="97" t="s">
        <v>107</v>
      </c>
      <c r="C563" s="97" t="s">
        <v>12</v>
      </c>
      <c r="D563" s="97">
        <v>300</v>
      </c>
      <c r="E563" s="97">
        <v>0</v>
      </c>
      <c r="F563" s="97">
        <v>500</v>
      </c>
      <c r="G563" s="97" t="s">
        <v>26</v>
      </c>
      <c r="H563" s="97" t="s">
        <v>10</v>
      </c>
    </row>
    <row r="564" spans="1:8">
      <c r="A564" s="97" t="s">
        <v>62</v>
      </c>
      <c r="B564" s="97" t="s">
        <v>107</v>
      </c>
      <c r="C564" s="97" t="s">
        <v>12</v>
      </c>
      <c r="D564" s="97">
        <v>300</v>
      </c>
      <c r="E564" s="97">
        <v>0</v>
      </c>
      <c r="F564" s="97">
        <v>500</v>
      </c>
      <c r="G564" s="97" t="s">
        <v>27</v>
      </c>
      <c r="H564" s="97" t="s">
        <v>4</v>
      </c>
    </row>
    <row r="565" spans="1:8">
      <c r="A565" s="97" t="s">
        <v>62</v>
      </c>
      <c r="B565" s="97" t="s">
        <v>107</v>
      </c>
      <c r="C565" s="97" t="s">
        <v>12</v>
      </c>
      <c r="D565" s="97">
        <v>300</v>
      </c>
      <c r="E565" s="97">
        <v>0</v>
      </c>
      <c r="F565" s="97">
        <v>500</v>
      </c>
      <c r="G565" s="97" t="s">
        <v>28</v>
      </c>
      <c r="H565" s="97" t="s">
        <v>4</v>
      </c>
    </row>
    <row r="566" spans="1:8">
      <c r="A566" s="97" t="s">
        <v>62</v>
      </c>
      <c r="B566" s="97" t="s">
        <v>107</v>
      </c>
      <c r="C566" s="97" t="s">
        <v>12</v>
      </c>
      <c r="D566" s="97">
        <v>300</v>
      </c>
      <c r="E566" s="97">
        <v>0</v>
      </c>
      <c r="F566" s="97">
        <v>500</v>
      </c>
      <c r="G566" s="97" t="s">
        <v>29</v>
      </c>
      <c r="H566" s="97" t="s">
        <v>8</v>
      </c>
    </row>
    <row r="567" spans="1:8">
      <c r="A567" s="97" t="s">
        <v>62</v>
      </c>
      <c r="B567" s="97" t="s">
        <v>107</v>
      </c>
      <c r="C567" s="97" t="s">
        <v>12</v>
      </c>
      <c r="D567" s="97">
        <v>300</v>
      </c>
      <c r="E567" s="97">
        <v>0</v>
      </c>
      <c r="F567" s="97">
        <v>500</v>
      </c>
      <c r="G567" s="97" t="s">
        <v>30</v>
      </c>
      <c r="H567" s="97" t="s">
        <v>4</v>
      </c>
    </row>
    <row r="568" spans="1:8">
      <c r="A568" s="97" t="s">
        <v>62</v>
      </c>
      <c r="B568" s="97" t="s">
        <v>107</v>
      </c>
      <c r="C568" s="97" t="s">
        <v>12</v>
      </c>
      <c r="D568" s="97">
        <v>300</v>
      </c>
      <c r="E568" s="97">
        <v>0</v>
      </c>
      <c r="F568" s="97">
        <v>500</v>
      </c>
      <c r="G568" s="97" t="s">
        <v>31</v>
      </c>
      <c r="H568" s="97" t="s">
        <v>4</v>
      </c>
    </row>
    <row r="569" spans="1:8">
      <c r="A569" s="97" t="s">
        <v>62</v>
      </c>
      <c r="B569" s="97" t="s">
        <v>107</v>
      </c>
      <c r="C569" s="97" t="s">
        <v>12</v>
      </c>
      <c r="D569" s="97">
        <v>300</v>
      </c>
      <c r="E569" s="97">
        <v>0</v>
      </c>
      <c r="F569" s="97">
        <v>500</v>
      </c>
      <c r="G569" s="97" t="s">
        <v>32</v>
      </c>
      <c r="H569" s="97" t="s">
        <v>6</v>
      </c>
    </row>
    <row r="570" spans="1:8">
      <c r="A570" s="97" t="s">
        <v>62</v>
      </c>
      <c r="B570" s="97" t="s">
        <v>107</v>
      </c>
      <c r="C570" s="97" t="s">
        <v>12</v>
      </c>
      <c r="D570" s="97">
        <v>300</v>
      </c>
      <c r="E570" s="97">
        <v>0</v>
      </c>
      <c r="F570" s="97">
        <v>500</v>
      </c>
      <c r="G570" s="97" t="s">
        <v>33</v>
      </c>
      <c r="H570" s="97" t="s">
        <v>8</v>
      </c>
    </row>
    <row r="571" spans="1:8">
      <c r="A571" s="97" t="s">
        <v>62</v>
      </c>
      <c r="B571" s="97" t="s">
        <v>107</v>
      </c>
      <c r="C571" s="97" t="s">
        <v>12</v>
      </c>
      <c r="D571" s="97">
        <v>300</v>
      </c>
      <c r="E571" s="97">
        <v>0</v>
      </c>
      <c r="F571" s="97">
        <v>500</v>
      </c>
      <c r="G571" s="97" t="s">
        <v>34</v>
      </c>
      <c r="H571" s="97" t="s">
        <v>4</v>
      </c>
    </row>
    <row r="572" spans="1:8">
      <c r="A572" s="97" t="s">
        <v>62</v>
      </c>
      <c r="B572" s="97" t="s">
        <v>107</v>
      </c>
      <c r="C572" s="97" t="s">
        <v>12</v>
      </c>
      <c r="D572" s="97">
        <v>300</v>
      </c>
      <c r="E572" s="97">
        <v>0</v>
      </c>
      <c r="F572" s="97">
        <v>500</v>
      </c>
      <c r="G572" s="97" t="s">
        <v>129</v>
      </c>
      <c r="H572" s="97">
        <v>800</v>
      </c>
    </row>
    <row r="573" spans="1:8">
      <c r="A573" s="97" t="s">
        <v>62</v>
      </c>
      <c r="B573" s="97" t="s">
        <v>107</v>
      </c>
      <c r="C573" s="97" t="s">
        <v>12</v>
      </c>
      <c r="D573" s="97">
        <v>300</v>
      </c>
      <c r="E573" s="97">
        <v>0</v>
      </c>
      <c r="F573" s="97">
        <v>500</v>
      </c>
      <c r="G573" s="97" t="s">
        <v>132</v>
      </c>
      <c r="H573" s="97">
        <v>1</v>
      </c>
    </row>
    <row r="574" spans="1:8">
      <c r="A574" s="97" t="s">
        <v>62</v>
      </c>
      <c r="B574" s="97" t="s">
        <v>107</v>
      </c>
      <c r="C574" s="97" t="s">
        <v>12</v>
      </c>
      <c r="D574" s="97">
        <v>300</v>
      </c>
      <c r="E574" s="97">
        <v>0</v>
      </c>
      <c r="F574" s="97">
        <v>500</v>
      </c>
      <c r="G574" s="97" t="s">
        <v>147</v>
      </c>
      <c r="H574" s="97" t="s">
        <v>149</v>
      </c>
    </row>
    <row r="575" spans="1:8">
      <c r="A575" s="97" t="s">
        <v>82</v>
      </c>
      <c r="B575" s="97" t="s">
        <v>107</v>
      </c>
      <c r="C575" s="97" t="s">
        <v>12</v>
      </c>
      <c r="D575" s="97">
        <v>600</v>
      </c>
      <c r="E575" s="97">
        <v>0</v>
      </c>
      <c r="F575" s="97">
        <v>2000</v>
      </c>
      <c r="G575" s="97" t="s">
        <v>24</v>
      </c>
      <c r="H575" s="97" t="s">
        <v>4</v>
      </c>
    </row>
    <row r="576" spans="1:8">
      <c r="A576" s="97" t="s">
        <v>82</v>
      </c>
      <c r="B576" s="97" t="s">
        <v>107</v>
      </c>
      <c r="C576" s="97" t="s">
        <v>12</v>
      </c>
      <c r="D576" s="97">
        <v>600</v>
      </c>
      <c r="E576" s="97">
        <v>0</v>
      </c>
      <c r="F576" s="97">
        <v>2000</v>
      </c>
      <c r="G576" s="97" t="s">
        <v>25</v>
      </c>
      <c r="H576" s="97" t="s">
        <v>10</v>
      </c>
    </row>
    <row r="577" spans="1:8">
      <c r="A577" s="97" t="s">
        <v>82</v>
      </c>
      <c r="B577" s="97" t="s">
        <v>107</v>
      </c>
      <c r="C577" s="97" t="s">
        <v>12</v>
      </c>
      <c r="D577" s="97">
        <v>600</v>
      </c>
      <c r="E577" s="97">
        <v>0</v>
      </c>
      <c r="F577" s="97">
        <v>2000</v>
      </c>
      <c r="G577" s="97" t="s">
        <v>26</v>
      </c>
      <c r="H577" s="97" t="s">
        <v>10</v>
      </c>
    </row>
    <row r="578" spans="1:8">
      <c r="A578" s="97" t="s">
        <v>82</v>
      </c>
      <c r="B578" s="97" t="s">
        <v>107</v>
      </c>
      <c r="C578" s="97" t="s">
        <v>12</v>
      </c>
      <c r="D578" s="97">
        <v>600</v>
      </c>
      <c r="E578" s="97">
        <v>0</v>
      </c>
      <c r="F578" s="97">
        <v>2000</v>
      </c>
      <c r="G578" s="97" t="s">
        <v>27</v>
      </c>
      <c r="H578" s="97" t="s">
        <v>4</v>
      </c>
    </row>
    <row r="579" spans="1:8">
      <c r="A579" s="97" t="s">
        <v>82</v>
      </c>
      <c r="B579" s="97" t="s">
        <v>107</v>
      </c>
      <c r="C579" s="97" t="s">
        <v>12</v>
      </c>
      <c r="D579" s="97">
        <v>600</v>
      </c>
      <c r="E579" s="97">
        <v>0</v>
      </c>
      <c r="F579" s="97">
        <v>2000</v>
      </c>
      <c r="G579" s="97" t="s">
        <v>28</v>
      </c>
      <c r="H579" s="97" t="s">
        <v>10</v>
      </c>
    </row>
    <row r="580" spans="1:8">
      <c r="A580" s="97" t="s">
        <v>82</v>
      </c>
      <c r="B580" s="97" t="s">
        <v>107</v>
      </c>
      <c r="C580" s="97" t="s">
        <v>12</v>
      </c>
      <c r="D580" s="97">
        <v>600</v>
      </c>
      <c r="E580" s="97">
        <v>0</v>
      </c>
      <c r="F580" s="97">
        <v>2000</v>
      </c>
      <c r="G580" s="97" t="s">
        <v>29</v>
      </c>
      <c r="H580" s="97" t="s">
        <v>6</v>
      </c>
    </row>
    <row r="581" spans="1:8">
      <c r="A581" s="97" t="s">
        <v>82</v>
      </c>
      <c r="B581" s="97" t="s">
        <v>107</v>
      </c>
      <c r="C581" s="97" t="s">
        <v>12</v>
      </c>
      <c r="D581" s="97">
        <v>600</v>
      </c>
      <c r="E581" s="97">
        <v>0</v>
      </c>
      <c r="F581" s="97">
        <v>2000</v>
      </c>
      <c r="G581" s="97" t="s">
        <v>30</v>
      </c>
      <c r="H581" s="97" t="s">
        <v>4</v>
      </c>
    </row>
    <row r="582" spans="1:8">
      <c r="A582" s="97" t="s">
        <v>82</v>
      </c>
      <c r="B582" s="97" t="s">
        <v>107</v>
      </c>
      <c r="C582" s="97" t="s">
        <v>12</v>
      </c>
      <c r="D582" s="97">
        <v>600</v>
      </c>
      <c r="E582" s="97">
        <v>0</v>
      </c>
      <c r="F582" s="97">
        <v>2000</v>
      </c>
      <c r="G582" s="97" t="s">
        <v>31</v>
      </c>
      <c r="H582" s="97" t="s">
        <v>4</v>
      </c>
    </row>
    <row r="583" spans="1:8">
      <c r="A583" s="97" t="s">
        <v>82</v>
      </c>
      <c r="B583" s="97" t="s">
        <v>107</v>
      </c>
      <c r="C583" s="97" t="s">
        <v>12</v>
      </c>
      <c r="D583" s="97">
        <v>600</v>
      </c>
      <c r="E583" s="97">
        <v>0</v>
      </c>
      <c r="F583" s="97">
        <v>2000</v>
      </c>
      <c r="G583" s="97" t="s">
        <v>32</v>
      </c>
      <c r="H583" s="97" t="s">
        <v>6</v>
      </c>
    </row>
    <row r="584" spans="1:8">
      <c r="A584" s="97" t="s">
        <v>82</v>
      </c>
      <c r="B584" s="97" t="s">
        <v>107</v>
      </c>
      <c r="C584" s="97" t="s">
        <v>12</v>
      </c>
      <c r="D584" s="97">
        <v>600</v>
      </c>
      <c r="E584" s="97">
        <v>0</v>
      </c>
      <c r="F584" s="97">
        <v>2000</v>
      </c>
      <c r="G584" s="97" t="s">
        <v>33</v>
      </c>
      <c r="H584" s="97" t="s">
        <v>10</v>
      </c>
    </row>
    <row r="585" spans="1:8">
      <c r="A585" s="97" t="s">
        <v>82</v>
      </c>
      <c r="B585" s="97" t="s">
        <v>107</v>
      </c>
      <c r="C585" s="97" t="s">
        <v>12</v>
      </c>
      <c r="D585" s="97">
        <v>600</v>
      </c>
      <c r="E585" s="97">
        <v>0</v>
      </c>
      <c r="F585" s="97">
        <v>2000</v>
      </c>
      <c r="G585" s="97" t="s">
        <v>34</v>
      </c>
      <c r="H585" s="97" t="s">
        <v>4</v>
      </c>
    </row>
    <row r="586" spans="1:8">
      <c r="A586" s="97" t="s">
        <v>82</v>
      </c>
      <c r="B586" s="97" t="s">
        <v>107</v>
      </c>
      <c r="C586" s="97" t="s">
        <v>12</v>
      </c>
      <c r="D586" s="97">
        <v>600</v>
      </c>
      <c r="E586" s="97">
        <v>0</v>
      </c>
      <c r="F586" s="97">
        <v>2000</v>
      </c>
      <c r="G586" s="97" t="s">
        <v>129</v>
      </c>
      <c r="H586" s="97">
        <v>2600</v>
      </c>
    </row>
    <row r="587" spans="1:8">
      <c r="A587" s="97" t="s">
        <v>82</v>
      </c>
      <c r="B587" s="97" t="s">
        <v>107</v>
      </c>
      <c r="C587" s="97" t="s">
        <v>12</v>
      </c>
      <c r="D587" s="97">
        <v>600</v>
      </c>
      <c r="E587" s="97">
        <v>0</v>
      </c>
      <c r="F587" s="97">
        <v>2000</v>
      </c>
      <c r="G587" s="97" t="s">
        <v>132</v>
      </c>
      <c r="H587" s="97">
        <v>4</v>
      </c>
    </row>
    <row r="588" spans="1:8">
      <c r="A588" s="97" t="s">
        <v>82</v>
      </c>
      <c r="B588" s="97" t="s">
        <v>107</v>
      </c>
      <c r="C588" s="97" t="s">
        <v>12</v>
      </c>
      <c r="D588" s="97">
        <v>600</v>
      </c>
      <c r="E588" s="97">
        <v>0</v>
      </c>
      <c r="F588" s="97">
        <v>2000</v>
      </c>
      <c r="G588" s="97" t="s">
        <v>147</v>
      </c>
      <c r="H588" s="97" t="s">
        <v>149</v>
      </c>
    </row>
    <row r="589" spans="1:8">
      <c r="A589" s="97" t="s">
        <v>60</v>
      </c>
      <c r="B589" s="97" t="s">
        <v>107</v>
      </c>
      <c r="C589" s="97" t="s">
        <v>12</v>
      </c>
      <c r="D589" s="97">
        <v>300</v>
      </c>
      <c r="E589" s="97">
        <v>0</v>
      </c>
      <c r="F589" s="97">
        <v>500</v>
      </c>
      <c r="G589" s="97" t="s">
        <v>24</v>
      </c>
      <c r="H589" s="97" t="s">
        <v>4</v>
      </c>
    </row>
    <row r="590" spans="1:8">
      <c r="A590" s="97" t="s">
        <v>60</v>
      </c>
      <c r="B590" s="97" t="s">
        <v>107</v>
      </c>
      <c r="C590" s="97" t="s">
        <v>12</v>
      </c>
      <c r="D590" s="97">
        <v>300</v>
      </c>
      <c r="E590" s="97">
        <v>0</v>
      </c>
      <c r="F590" s="97">
        <v>500</v>
      </c>
      <c r="G590" s="97" t="s">
        <v>25</v>
      </c>
      <c r="H590" s="97" t="s">
        <v>4</v>
      </c>
    </row>
    <row r="591" spans="1:8">
      <c r="A591" s="97" t="s">
        <v>60</v>
      </c>
      <c r="B591" s="97" t="s">
        <v>107</v>
      </c>
      <c r="C591" s="97" t="s">
        <v>12</v>
      </c>
      <c r="D591" s="97">
        <v>300</v>
      </c>
      <c r="E591" s="97">
        <v>0</v>
      </c>
      <c r="F591" s="97">
        <v>500</v>
      </c>
      <c r="G591" s="97" t="s">
        <v>26</v>
      </c>
      <c r="H591" s="97" t="s">
        <v>4</v>
      </c>
    </row>
    <row r="592" spans="1:8">
      <c r="A592" s="97" t="s">
        <v>60</v>
      </c>
      <c r="B592" s="97" t="s">
        <v>107</v>
      </c>
      <c r="C592" s="97" t="s">
        <v>12</v>
      </c>
      <c r="D592" s="97">
        <v>300</v>
      </c>
      <c r="E592" s="97">
        <v>0</v>
      </c>
      <c r="F592" s="97">
        <v>500</v>
      </c>
      <c r="G592" s="97" t="s">
        <v>27</v>
      </c>
      <c r="H592" s="97" t="s">
        <v>4</v>
      </c>
    </row>
    <row r="593" spans="1:8">
      <c r="A593" s="97" t="s">
        <v>60</v>
      </c>
      <c r="B593" s="97" t="s">
        <v>107</v>
      </c>
      <c r="C593" s="97" t="s">
        <v>12</v>
      </c>
      <c r="D593" s="97">
        <v>300</v>
      </c>
      <c r="E593" s="97">
        <v>0</v>
      </c>
      <c r="F593" s="97">
        <v>500</v>
      </c>
      <c r="G593" s="97" t="s">
        <v>28</v>
      </c>
      <c r="H593" s="97" t="s">
        <v>4</v>
      </c>
    </row>
    <row r="594" spans="1:8">
      <c r="A594" s="97" t="s">
        <v>60</v>
      </c>
      <c r="B594" s="97" t="s">
        <v>107</v>
      </c>
      <c r="C594" s="97" t="s">
        <v>12</v>
      </c>
      <c r="D594" s="97">
        <v>300</v>
      </c>
      <c r="E594" s="97">
        <v>0</v>
      </c>
      <c r="F594" s="97">
        <v>500</v>
      </c>
      <c r="G594" s="97" t="s">
        <v>29</v>
      </c>
      <c r="H594" s="97" t="s">
        <v>6</v>
      </c>
    </row>
    <row r="595" spans="1:8">
      <c r="A595" s="97" t="s">
        <v>60</v>
      </c>
      <c r="B595" s="97" t="s">
        <v>107</v>
      </c>
      <c r="C595" s="97" t="s">
        <v>12</v>
      </c>
      <c r="D595" s="97">
        <v>300</v>
      </c>
      <c r="E595" s="97">
        <v>0</v>
      </c>
      <c r="F595" s="97">
        <v>500</v>
      </c>
      <c r="G595" s="97" t="s">
        <v>30</v>
      </c>
      <c r="H595" s="97" t="s">
        <v>4</v>
      </c>
    </row>
    <row r="596" spans="1:8">
      <c r="A596" s="97" t="s">
        <v>60</v>
      </c>
      <c r="B596" s="97" t="s">
        <v>107</v>
      </c>
      <c r="C596" s="97" t="s">
        <v>12</v>
      </c>
      <c r="D596" s="97">
        <v>300</v>
      </c>
      <c r="E596" s="97">
        <v>0</v>
      </c>
      <c r="F596" s="97">
        <v>500</v>
      </c>
      <c r="G596" s="97" t="s">
        <v>31</v>
      </c>
      <c r="H596" s="97" t="s">
        <v>4</v>
      </c>
    </row>
    <row r="597" spans="1:8">
      <c r="A597" s="97" t="s">
        <v>60</v>
      </c>
      <c r="B597" s="97" t="s">
        <v>107</v>
      </c>
      <c r="C597" s="97" t="s">
        <v>12</v>
      </c>
      <c r="D597" s="97">
        <v>300</v>
      </c>
      <c r="E597" s="97">
        <v>0</v>
      </c>
      <c r="F597" s="97">
        <v>500</v>
      </c>
      <c r="G597" s="97" t="s">
        <v>32</v>
      </c>
      <c r="H597" s="97" t="s">
        <v>4</v>
      </c>
    </row>
    <row r="598" spans="1:8">
      <c r="A598" s="97" t="s">
        <v>60</v>
      </c>
      <c r="B598" s="97" t="s">
        <v>107</v>
      </c>
      <c r="C598" s="97" t="s">
        <v>12</v>
      </c>
      <c r="D598" s="97">
        <v>300</v>
      </c>
      <c r="E598" s="97">
        <v>0</v>
      </c>
      <c r="F598" s="97">
        <v>500</v>
      </c>
      <c r="G598" s="97" t="s">
        <v>33</v>
      </c>
      <c r="H598" s="97" t="s">
        <v>10</v>
      </c>
    </row>
    <row r="599" spans="1:8">
      <c r="A599" s="97" t="s">
        <v>60</v>
      </c>
      <c r="B599" s="97" t="s">
        <v>107</v>
      </c>
      <c r="C599" s="97" t="s">
        <v>12</v>
      </c>
      <c r="D599" s="97">
        <v>300</v>
      </c>
      <c r="E599" s="97">
        <v>0</v>
      </c>
      <c r="F599" s="97">
        <v>500</v>
      </c>
      <c r="G599" s="97" t="s">
        <v>34</v>
      </c>
      <c r="H599" s="97" t="s">
        <v>4</v>
      </c>
    </row>
    <row r="600" spans="1:8">
      <c r="A600" s="97" t="s">
        <v>60</v>
      </c>
      <c r="B600" s="97" t="s">
        <v>107</v>
      </c>
      <c r="C600" s="97" t="s">
        <v>12</v>
      </c>
      <c r="D600" s="97">
        <v>300</v>
      </c>
      <c r="E600" s="97">
        <v>0</v>
      </c>
      <c r="F600" s="97">
        <v>500</v>
      </c>
      <c r="G600" s="97" t="s">
        <v>129</v>
      </c>
      <c r="H600" s="97">
        <v>800</v>
      </c>
    </row>
    <row r="601" spans="1:8">
      <c r="A601" s="97" t="s">
        <v>60</v>
      </c>
      <c r="B601" s="97" t="s">
        <v>107</v>
      </c>
      <c r="C601" s="97" t="s">
        <v>12</v>
      </c>
      <c r="D601" s="97">
        <v>300</v>
      </c>
      <c r="E601" s="97">
        <v>0</v>
      </c>
      <c r="F601" s="97">
        <v>500</v>
      </c>
      <c r="G601" s="97" t="s">
        <v>132</v>
      </c>
      <c r="H601" s="97">
        <v>1</v>
      </c>
    </row>
    <row r="602" spans="1:8">
      <c r="A602" s="97" t="s">
        <v>60</v>
      </c>
      <c r="B602" s="97" t="s">
        <v>107</v>
      </c>
      <c r="C602" s="97" t="s">
        <v>12</v>
      </c>
      <c r="D602" s="97">
        <v>300</v>
      </c>
      <c r="E602" s="97">
        <v>0</v>
      </c>
      <c r="F602" s="97">
        <v>500</v>
      </c>
      <c r="G602" s="97" t="s">
        <v>147</v>
      </c>
      <c r="H602" s="97" t="s">
        <v>149</v>
      </c>
    </row>
    <row r="603" spans="1:8">
      <c r="A603" s="97" t="s">
        <v>77</v>
      </c>
      <c r="B603" s="97" t="s">
        <v>107</v>
      </c>
      <c r="C603" s="97" t="s">
        <v>12</v>
      </c>
      <c r="D603" s="97">
        <v>0</v>
      </c>
      <c r="E603" s="97">
        <v>0</v>
      </c>
      <c r="F603" s="97">
        <v>1000</v>
      </c>
      <c r="G603" s="97" t="s">
        <v>24</v>
      </c>
      <c r="H603" s="97" t="s">
        <v>4</v>
      </c>
    </row>
    <row r="604" spans="1:8">
      <c r="A604" s="97" t="s">
        <v>77</v>
      </c>
      <c r="B604" s="97" t="s">
        <v>107</v>
      </c>
      <c r="C604" s="97" t="s">
        <v>12</v>
      </c>
      <c r="D604" s="97">
        <v>0</v>
      </c>
      <c r="E604" s="97">
        <v>0</v>
      </c>
      <c r="F604" s="97">
        <v>1000</v>
      </c>
      <c r="G604" s="97" t="s">
        <v>25</v>
      </c>
      <c r="H604" s="97" t="s">
        <v>4</v>
      </c>
    </row>
    <row r="605" spans="1:8">
      <c r="A605" s="97" t="s">
        <v>77</v>
      </c>
      <c r="B605" s="97" t="s">
        <v>107</v>
      </c>
      <c r="C605" s="97" t="s">
        <v>12</v>
      </c>
      <c r="D605" s="97">
        <v>0</v>
      </c>
      <c r="E605" s="97">
        <v>0</v>
      </c>
      <c r="F605" s="97">
        <v>1000</v>
      </c>
      <c r="G605" s="97" t="s">
        <v>26</v>
      </c>
      <c r="H605" s="97" t="s">
        <v>10</v>
      </c>
    </row>
    <row r="606" spans="1:8">
      <c r="A606" s="97" t="s">
        <v>77</v>
      </c>
      <c r="B606" s="97" t="s">
        <v>107</v>
      </c>
      <c r="C606" s="97" t="s">
        <v>12</v>
      </c>
      <c r="D606" s="97">
        <v>0</v>
      </c>
      <c r="E606" s="97">
        <v>0</v>
      </c>
      <c r="F606" s="97">
        <v>1000</v>
      </c>
      <c r="G606" s="97" t="s">
        <v>27</v>
      </c>
      <c r="H606" s="97" t="s">
        <v>4</v>
      </c>
    </row>
    <row r="607" spans="1:8">
      <c r="A607" s="97" t="s">
        <v>77</v>
      </c>
      <c r="B607" s="97" t="s">
        <v>107</v>
      </c>
      <c r="C607" s="97" t="s">
        <v>12</v>
      </c>
      <c r="D607" s="97">
        <v>0</v>
      </c>
      <c r="E607" s="97">
        <v>0</v>
      </c>
      <c r="F607" s="97">
        <v>1000</v>
      </c>
      <c r="G607" s="97" t="s">
        <v>28</v>
      </c>
      <c r="H607" s="97" t="s">
        <v>4</v>
      </c>
    </row>
    <row r="608" spans="1:8">
      <c r="A608" s="97" t="s">
        <v>77</v>
      </c>
      <c r="B608" s="97" t="s">
        <v>107</v>
      </c>
      <c r="C608" s="97" t="s">
        <v>12</v>
      </c>
      <c r="D608" s="97">
        <v>0</v>
      </c>
      <c r="E608" s="97">
        <v>0</v>
      </c>
      <c r="F608" s="97">
        <v>1000</v>
      </c>
      <c r="G608" s="97" t="s">
        <v>29</v>
      </c>
      <c r="H608" s="97" t="s">
        <v>4</v>
      </c>
    </row>
    <row r="609" spans="1:8">
      <c r="A609" s="97" t="s">
        <v>77</v>
      </c>
      <c r="B609" s="97" t="s">
        <v>107</v>
      </c>
      <c r="C609" s="97" t="s">
        <v>12</v>
      </c>
      <c r="D609" s="97">
        <v>0</v>
      </c>
      <c r="E609" s="97">
        <v>0</v>
      </c>
      <c r="F609" s="97">
        <v>1000</v>
      </c>
      <c r="G609" s="97" t="s">
        <v>30</v>
      </c>
      <c r="H609" s="97" t="s">
        <v>4</v>
      </c>
    </row>
    <row r="610" spans="1:8">
      <c r="A610" s="97" t="s">
        <v>77</v>
      </c>
      <c r="B610" s="97" t="s">
        <v>107</v>
      </c>
      <c r="C610" s="97" t="s">
        <v>12</v>
      </c>
      <c r="D610" s="97">
        <v>0</v>
      </c>
      <c r="E610" s="97">
        <v>0</v>
      </c>
      <c r="F610" s="97">
        <v>1000</v>
      </c>
      <c r="G610" s="97" t="s">
        <v>31</v>
      </c>
      <c r="H610" s="97" t="s">
        <v>4</v>
      </c>
    </row>
    <row r="611" spans="1:8">
      <c r="A611" s="97" t="s">
        <v>77</v>
      </c>
      <c r="B611" s="97" t="s">
        <v>107</v>
      </c>
      <c r="C611" s="97" t="s">
        <v>12</v>
      </c>
      <c r="D611" s="97">
        <v>0</v>
      </c>
      <c r="E611" s="97">
        <v>0</v>
      </c>
      <c r="F611" s="97">
        <v>1000</v>
      </c>
      <c r="G611" s="97" t="s">
        <v>32</v>
      </c>
      <c r="H611" s="97" t="s">
        <v>4</v>
      </c>
    </row>
    <row r="612" spans="1:8">
      <c r="A612" s="97" t="s">
        <v>77</v>
      </c>
      <c r="B612" s="97" t="s">
        <v>107</v>
      </c>
      <c r="C612" s="97" t="s">
        <v>12</v>
      </c>
      <c r="D612" s="97">
        <v>0</v>
      </c>
      <c r="E612" s="97">
        <v>0</v>
      </c>
      <c r="F612" s="97">
        <v>1000</v>
      </c>
      <c r="G612" s="97" t="s">
        <v>33</v>
      </c>
      <c r="H612" s="97" t="s">
        <v>4</v>
      </c>
    </row>
    <row r="613" spans="1:8">
      <c r="A613" s="97" t="s">
        <v>77</v>
      </c>
      <c r="B613" s="97" t="s">
        <v>107</v>
      </c>
      <c r="C613" s="97" t="s">
        <v>12</v>
      </c>
      <c r="D613" s="97">
        <v>0</v>
      </c>
      <c r="E613" s="97">
        <v>0</v>
      </c>
      <c r="F613" s="97">
        <v>1000</v>
      </c>
      <c r="G613" s="97" t="s">
        <v>34</v>
      </c>
      <c r="H613" s="97" t="s">
        <v>10</v>
      </c>
    </row>
    <row r="614" spans="1:8">
      <c r="A614" s="97" t="s">
        <v>77</v>
      </c>
      <c r="B614" s="97" t="s">
        <v>107</v>
      </c>
      <c r="C614" s="97" t="s">
        <v>12</v>
      </c>
      <c r="D614" s="97">
        <v>0</v>
      </c>
      <c r="E614" s="97">
        <v>0</v>
      </c>
      <c r="F614" s="97">
        <v>1000</v>
      </c>
      <c r="G614" s="97" t="s">
        <v>129</v>
      </c>
      <c r="H614" s="97">
        <v>1000</v>
      </c>
    </row>
    <row r="615" spans="1:8">
      <c r="A615" s="97" t="s">
        <v>77</v>
      </c>
      <c r="B615" s="97" t="s">
        <v>107</v>
      </c>
      <c r="C615" s="97" t="s">
        <v>12</v>
      </c>
      <c r="D615" s="97">
        <v>0</v>
      </c>
      <c r="E615" s="97">
        <v>0</v>
      </c>
      <c r="F615" s="97">
        <v>1000</v>
      </c>
      <c r="G615" s="97" t="s">
        <v>132</v>
      </c>
      <c r="H615" s="97">
        <v>2</v>
      </c>
    </row>
    <row r="616" spans="1:8">
      <c r="A616" s="97" t="s">
        <v>77</v>
      </c>
      <c r="B616" s="97" t="s">
        <v>107</v>
      </c>
      <c r="C616" s="97" t="s">
        <v>12</v>
      </c>
      <c r="D616" s="97">
        <v>0</v>
      </c>
      <c r="E616" s="97">
        <v>0</v>
      </c>
      <c r="F616" s="97">
        <v>1000</v>
      </c>
      <c r="G616" s="97" t="s">
        <v>147</v>
      </c>
      <c r="H616" s="97" t="s">
        <v>149</v>
      </c>
    </row>
    <row r="617" spans="1:8">
      <c r="A617" s="97" t="s">
        <v>85</v>
      </c>
      <c r="B617" s="97" t="s">
        <v>107</v>
      </c>
      <c r="C617" s="97" t="s">
        <v>13</v>
      </c>
      <c r="D617" s="97">
        <v>0</v>
      </c>
      <c r="E617" s="97">
        <v>0</v>
      </c>
      <c r="F617" s="97">
        <v>500</v>
      </c>
      <c r="G617" s="97" t="s">
        <v>24</v>
      </c>
      <c r="H617" s="97" t="s">
        <v>10</v>
      </c>
    </row>
    <row r="618" spans="1:8">
      <c r="A618" s="97" t="s">
        <v>85</v>
      </c>
      <c r="B618" s="97" t="s">
        <v>107</v>
      </c>
      <c r="C618" s="97" t="s">
        <v>13</v>
      </c>
      <c r="D618" s="97">
        <v>0</v>
      </c>
      <c r="E618" s="97">
        <v>0</v>
      </c>
      <c r="F618" s="97">
        <v>500</v>
      </c>
      <c r="G618" s="97" t="s">
        <v>25</v>
      </c>
      <c r="H618" s="97" t="s">
        <v>4</v>
      </c>
    </row>
    <row r="619" spans="1:8">
      <c r="A619" s="97" t="s">
        <v>85</v>
      </c>
      <c r="B619" s="97" t="s">
        <v>107</v>
      </c>
      <c r="C619" s="97" t="s">
        <v>13</v>
      </c>
      <c r="D619" s="97">
        <v>0</v>
      </c>
      <c r="E619" s="97">
        <v>0</v>
      </c>
      <c r="F619" s="97">
        <v>500</v>
      </c>
      <c r="G619" s="97" t="s">
        <v>26</v>
      </c>
      <c r="H619" s="97" t="s">
        <v>4</v>
      </c>
    </row>
    <row r="620" spans="1:8">
      <c r="A620" s="97" t="s">
        <v>85</v>
      </c>
      <c r="B620" s="97" t="s">
        <v>107</v>
      </c>
      <c r="C620" s="97" t="s">
        <v>13</v>
      </c>
      <c r="D620" s="97">
        <v>0</v>
      </c>
      <c r="E620" s="97">
        <v>0</v>
      </c>
      <c r="F620" s="97">
        <v>500</v>
      </c>
      <c r="G620" s="97" t="s">
        <v>27</v>
      </c>
      <c r="H620" s="97" t="s">
        <v>4</v>
      </c>
    </row>
    <row r="621" spans="1:8">
      <c r="A621" s="97" t="s">
        <v>85</v>
      </c>
      <c r="B621" s="97" t="s">
        <v>107</v>
      </c>
      <c r="C621" s="97" t="s">
        <v>13</v>
      </c>
      <c r="D621" s="97">
        <v>0</v>
      </c>
      <c r="E621" s="97">
        <v>0</v>
      </c>
      <c r="F621" s="97">
        <v>500</v>
      </c>
      <c r="G621" s="97" t="s">
        <v>28</v>
      </c>
      <c r="H621" s="97" t="s">
        <v>4</v>
      </c>
    </row>
    <row r="622" spans="1:8">
      <c r="A622" s="97" t="s">
        <v>85</v>
      </c>
      <c r="B622" s="97" t="s">
        <v>107</v>
      </c>
      <c r="C622" s="97" t="s">
        <v>13</v>
      </c>
      <c r="D622" s="97">
        <v>0</v>
      </c>
      <c r="E622" s="97">
        <v>0</v>
      </c>
      <c r="F622" s="97">
        <v>500</v>
      </c>
      <c r="G622" s="97" t="s">
        <v>29</v>
      </c>
      <c r="H622" s="97" t="s">
        <v>4</v>
      </c>
    </row>
    <row r="623" spans="1:8">
      <c r="A623" s="97" t="s">
        <v>85</v>
      </c>
      <c r="B623" s="97" t="s">
        <v>107</v>
      </c>
      <c r="C623" s="97" t="s">
        <v>13</v>
      </c>
      <c r="D623" s="97">
        <v>0</v>
      </c>
      <c r="E623" s="97">
        <v>0</v>
      </c>
      <c r="F623" s="97">
        <v>500</v>
      </c>
      <c r="G623" s="97" t="s">
        <v>30</v>
      </c>
      <c r="H623" s="97" t="s">
        <v>4</v>
      </c>
    </row>
    <row r="624" spans="1:8">
      <c r="A624" s="97" t="s">
        <v>85</v>
      </c>
      <c r="B624" s="97" t="s">
        <v>107</v>
      </c>
      <c r="C624" s="97" t="s">
        <v>13</v>
      </c>
      <c r="D624" s="97">
        <v>0</v>
      </c>
      <c r="E624" s="97">
        <v>0</v>
      </c>
      <c r="F624" s="97">
        <v>500</v>
      </c>
      <c r="G624" s="97" t="s">
        <v>31</v>
      </c>
      <c r="H624" s="97" t="s">
        <v>4</v>
      </c>
    </row>
    <row r="625" spans="1:8">
      <c r="A625" s="97" t="s">
        <v>85</v>
      </c>
      <c r="B625" s="97" t="s">
        <v>107</v>
      </c>
      <c r="C625" s="97" t="s">
        <v>13</v>
      </c>
      <c r="D625" s="97">
        <v>0</v>
      </c>
      <c r="E625" s="97">
        <v>0</v>
      </c>
      <c r="F625" s="97">
        <v>500</v>
      </c>
      <c r="G625" s="97" t="s">
        <v>32</v>
      </c>
      <c r="H625" s="97" t="s">
        <v>4</v>
      </c>
    </row>
    <row r="626" spans="1:8">
      <c r="A626" s="97" t="s">
        <v>85</v>
      </c>
      <c r="B626" s="97" t="s">
        <v>107</v>
      </c>
      <c r="C626" s="97" t="s">
        <v>13</v>
      </c>
      <c r="D626" s="97">
        <v>0</v>
      </c>
      <c r="E626" s="97">
        <v>0</v>
      </c>
      <c r="F626" s="97">
        <v>500</v>
      </c>
      <c r="G626" s="97" t="s">
        <v>33</v>
      </c>
      <c r="H626" s="97" t="s">
        <v>4</v>
      </c>
    </row>
    <row r="627" spans="1:8">
      <c r="A627" s="97" t="s">
        <v>85</v>
      </c>
      <c r="B627" s="97" t="s">
        <v>107</v>
      </c>
      <c r="C627" s="97" t="s">
        <v>13</v>
      </c>
      <c r="D627" s="97">
        <v>0</v>
      </c>
      <c r="E627" s="97">
        <v>0</v>
      </c>
      <c r="F627" s="97">
        <v>500</v>
      </c>
      <c r="G627" s="97" t="s">
        <v>34</v>
      </c>
      <c r="H627" s="97" t="s">
        <v>4</v>
      </c>
    </row>
    <row r="628" spans="1:8">
      <c r="A628" s="97" t="s">
        <v>85</v>
      </c>
      <c r="B628" s="97" t="s">
        <v>107</v>
      </c>
      <c r="C628" s="97" t="s">
        <v>13</v>
      </c>
      <c r="D628" s="97">
        <v>0</v>
      </c>
      <c r="E628" s="97">
        <v>0</v>
      </c>
      <c r="F628" s="97">
        <v>500</v>
      </c>
      <c r="G628" s="97" t="s">
        <v>129</v>
      </c>
      <c r="H628" s="97">
        <v>500</v>
      </c>
    </row>
    <row r="629" spans="1:8">
      <c r="A629" s="97" t="s">
        <v>85</v>
      </c>
      <c r="B629" s="97" t="s">
        <v>107</v>
      </c>
      <c r="C629" s="97" t="s">
        <v>13</v>
      </c>
      <c r="D629" s="97">
        <v>0</v>
      </c>
      <c r="E629" s="97">
        <v>0</v>
      </c>
      <c r="F629" s="97">
        <v>500</v>
      </c>
      <c r="G629" s="97" t="s">
        <v>132</v>
      </c>
      <c r="H629" s="97">
        <v>1</v>
      </c>
    </row>
    <row r="630" spans="1:8">
      <c r="A630" s="97" t="s">
        <v>85</v>
      </c>
      <c r="B630" s="97" t="s">
        <v>107</v>
      </c>
      <c r="C630" s="97" t="s">
        <v>13</v>
      </c>
      <c r="D630" s="97">
        <v>0</v>
      </c>
      <c r="E630" s="97">
        <v>0</v>
      </c>
      <c r="F630" s="97">
        <v>500</v>
      </c>
      <c r="G630" s="97" t="s">
        <v>147</v>
      </c>
      <c r="H630" s="97" t="s">
        <v>149</v>
      </c>
    </row>
    <row r="631" spans="1:8">
      <c r="A631" s="97" t="s">
        <v>86</v>
      </c>
      <c r="B631" s="97" t="s">
        <v>106</v>
      </c>
      <c r="C631" s="97" t="s">
        <v>16</v>
      </c>
      <c r="D631" s="97">
        <v>0</v>
      </c>
      <c r="E631" s="97">
        <v>0</v>
      </c>
      <c r="F631" s="97">
        <v>0</v>
      </c>
      <c r="G631" s="97" t="s">
        <v>24</v>
      </c>
      <c r="H631" s="97" t="s">
        <v>4</v>
      </c>
    </row>
    <row r="632" spans="1:8">
      <c r="A632" s="97" t="s">
        <v>86</v>
      </c>
      <c r="B632" s="97" t="s">
        <v>106</v>
      </c>
      <c r="C632" s="97" t="s">
        <v>16</v>
      </c>
      <c r="D632" s="97">
        <v>0</v>
      </c>
      <c r="E632" s="97">
        <v>0</v>
      </c>
      <c r="F632" s="97">
        <v>0</v>
      </c>
      <c r="G632" s="97" t="s">
        <v>25</v>
      </c>
      <c r="H632" s="97" t="s">
        <v>4</v>
      </c>
    </row>
    <row r="633" spans="1:8">
      <c r="A633" s="97" t="s">
        <v>86</v>
      </c>
      <c r="B633" s="97" t="s">
        <v>106</v>
      </c>
      <c r="C633" s="97" t="s">
        <v>16</v>
      </c>
      <c r="D633" s="97">
        <v>0</v>
      </c>
      <c r="E633" s="97">
        <v>0</v>
      </c>
      <c r="F633" s="97">
        <v>0</v>
      </c>
      <c r="G633" s="97" t="s">
        <v>26</v>
      </c>
      <c r="H633" s="97" t="s">
        <v>4</v>
      </c>
    </row>
    <row r="634" spans="1:8">
      <c r="A634" s="97" t="s">
        <v>86</v>
      </c>
      <c r="B634" s="97" t="s">
        <v>106</v>
      </c>
      <c r="C634" s="97" t="s">
        <v>16</v>
      </c>
      <c r="D634" s="97">
        <v>0</v>
      </c>
      <c r="E634" s="97">
        <v>0</v>
      </c>
      <c r="F634" s="97">
        <v>0</v>
      </c>
      <c r="G634" s="97" t="s">
        <v>27</v>
      </c>
      <c r="H634" s="97" t="s">
        <v>4</v>
      </c>
    </row>
    <row r="635" spans="1:8">
      <c r="A635" s="97" t="s">
        <v>86</v>
      </c>
      <c r="B635" s="97" t="s">
        <v>106</v>
      </c>
      <c r="C635" s="97" t="s">
        <v>16</v>
      </c>
      <c r="D635" s="97">
        <v>0</v>
      </c>
      <c r="E635" s="97">
        <v>0</v>
      </c>
      <c r="F635" s="97">
        <v>0</v>
      </c>
      <c r="G635" s="97" t="s">
        <v>28</v>
      </c>
      <c r="H635" s="97" t="s">
        <v>4</v>
      </c>
    </row>
    <row r="636" spans="1:8">
      <c r="A636" s="97" t="s">
        <v>86</v>
      </c>
      <c r="B636" s="97" t="s">
        <v>106</v>
      </c>
      <c r="C636" s="97" t="s">
        <v>16</v>
      </c>
      <c r="D636" s="97">
        <v>0</v>
      </c>
      <c r="E636" s="97">
        <v>0</v>
      </c>
      <c r="F636" s="97">
        <v>0</v>
      </c>
      <c r="G636" s="97" t="s">
        <v>29</v>
      </c>
      <c r="H636" s="97" t="s">
        <v>4</v>
      </c>
    </row>
    <row r="637" spans="1:8">
      <c r="A637" s="97" t="s">
        <v>86</v>
      </c>
      <c r="B637" s="97" t="s">
        <v>106</v>
      </c>
      <c r="C637" s="97" t="s">
        <v>16</v>
      </c>
      <c r="D637" s="97">
        <v>0</v>
      </c>
      <c r="E637" s="97">
        <v>0</v>
      </c>
      <c r="F637" s="97">
        <v>0</v>
      </c>
      <c r="G637" s="97" t="s">
        <v>30</v>
      </c>
      <c r="H637" s="97" t="s">
        <v>4</v>
      </c>
    </row>
    <row r="638" spans="1:8">
      <c r="A638" s="97" t="s">
        <v>86</v>
      </c>
      <c r="B638" s="97" t="s">
        <v>106</v>
      </c>
      <c r="C638" s="97" t="s">
        <v>16</v>
      </c>
      <c r="D638" s="97">
        <v>0</v>
      </c>
      <c r="E638" s="97">
        <v>0</v>
      </c>
      <c r="F638" s="97">
        <v>0</v>
      </c>
      <c r="G638" s="97" t="s">
        <v>31</v>
      </c>
      <c r="H638" s="97" t="s">
        <v>4</v>
      </c>
    </row>
    <row r="639" spans="1:8">
      <c r="A639" s="97" t="s">
        <v>86</v>
      </c>
      <c r="B639" s="97" t="s">
        <v>106</v>
      </c>
      <c r="C639" s="97" t="s">
        <v>16</v>
      </c>
      <c r="D639" s="97">
        <v>0</v>
      </c>
      <c r="E639" s="97">
        <v>0</v>
      </c>
      <c r="F639" s="97">
        <v>0</v>
      </c>
      <c r="G639" s="97" t="s">
        <v>32</v>
      </c>
      <c r="H639" s="97" t="s">
        <v>4</v>
      </c>
    </row>
    <row r="640" spans="1:8">
      <c r="A640" s="97" t="s">
        <v>86</v>
      </c>
      <c r="B640" s="97" t="s">
        <v>106</v>
      </c>
      <c r="C640" s="97" t="s">
        <v>16</v>
      </c>
      <c r="D640" s="97">
        <v>0</v>
      </c>
      <c r="E640" s="97">
        <v>0</v>
      </c>
      <c r="F640" s="97">
        <v>0</v>
      </c>
      <c r="G640" s="97" t="s">
        <v>33</v>
      </c>
      <c r="H640" s="97" t="s">
        <v>4</v>
      </c>
    </row>
    <row r="641" spans="1:8">
      <c r="A641" s="97" t="s">
        <v>86</v>
      </c>
      <c r="B641" s="97" t="s">
        <v>106</v>
      </c>
      <c r="C641" s="97" t="s">
        <v>16</v>
      </c>
      <c r="D641" s="97">
        <v>0</v>
      </c>
      <c r="E641" s="97">
        <v>0</v>
      </c>
      <c r="F641" s="97">
        <v>0</v>
      </c>
      <c r="G641" s="97" t="s">
        <v>34</v>
      </c>
      <c r="H641" s="97" t="s">
        <v>4</v>
      </c>
    </row>
    <row r="642" spans="1:8">
      <c r="A642" s="97" t="s">
        <v>86</v>
      </c>
      <c r="B642" s="97" t="s">
        <v>106</v>
      </c>
      <c r="C642" s="97" t="s">
        <v>16</v>
      </c>
      <c r="D642" s="97">
        <v>0</v>
      </c>
      <c r="E642" s="97">
        <v>0</v>
      </c>
      <c r="F642" s="97">
        <v>0</v>
      </c>
      <c r="G642" s="97" t="s">
        <v>129</v>
      </c>
      <c r="H642" s="97">
        <v>0</v>
      </c>
    </row>
    <row r="643" spans="1:8">
      <c r="A643" s="97" t="s">
        <v>86</v>
      </c>
      <c r="B643" s="97" t="s">
        <v>106</v>
      </c>
      <c r="C643" s="97" t="s">
        <v>16</v>
      </c>
      <c r="D643" s="97">
        <v>0</v>
      </c>
      <c r="E643" s="97">
        <v>0</v>
      </c>
      <c r="F643" s="97">
        <v>0</v>
      </c>
      <c r="G643" s="97" t="s">
        <v>132</v>
      </c>
      <c r="H643" s="97">
        <v>0</v>
      </c>
    </row>
    <row r="644" spans="1:8">
      <c r="A644" s="97" t="s">
        <v>86</v>
      </c>
      <c r="B644" s="97" t="s">
        <v>106</v>
      </c>
      <c r="C644" s="97" t="s">
        <v>16</v>
      </c>
      <c r="D644" s="97">
        <v>0</v>
      </c>
      <c r="E644" s="97">
        <v>0</v>
      </c>
      <c r="F644" s="97">
        <v>0</v>
      </c>
      <c r="G644" s="97" t="s">
        <v>147</v>
      </c>
      <c r="H644" s="97" t="s">
        <v>148</v>
      </c>
    </row>
    <row r="645" spans="1:8">
      <c r="A645" s="97" t="s">
        <v>87</v>
      </c>
      <c r="B645" s="97" t="s">
        <v>107</v>
      </c>
      <c r="C645" s="97" t="s">
        <v>13</v>
      </c>
      <c r="D645" s="97">
        <v>0</v>
      </c>
      <c r="E645" s="97">
        <v>0</v>
      </c>
      <c r="F645" s="97">
        <v>500</v>
      </c>
      <c r="G645" s="97" t="s">
        <v>24</v>
      </c>
      <c r="H645" s="97" t="s">
        <v>4</v>
      </c>
    </row>
    <row r="646" spans="1:8">
      <c r="A646" s="97" t="s">
        <v>87</v>
      </c>
      <c r="B646" s="97" t="s">
        <v>107</v>
      </c>
      <c r="C646" s="97" t="s">
        <v>13</v>
      </c>
      <c r="D646" s="97">
        <v>0</v>
      </c>
      <c r="E646" s="97">
        <v>0</v>
      </c>
      <c r="F646" s="97">
        <v>500</v>
      </c>
      <c r="G646" s="97" t="s">
        <v>25</v>
      </c>
      <c r="H646" s="97" t="s">
        <v>4</v>
      </c>
    </row>
    <row r="647" spans="1:8">
      <c r="A647" s="97" t="s">
        <v>87</v>
      </c>
      <c r="B647" s="97" t="s">
        <v>107</v>
      </c>
      <c r="C647" s="97" t="s">
        <v>13</v>
      </c>
      <c r="D647" s="97">
        <v>0</v>
      </c>
      <c r="E647" s="97">
        <v>0</v>
      </c>
      <c r="F647" s="97">
        <v>500</v>
      </c>
      <c r="G647" s="97" t="s">
        <v>26</v>
      </c>
      <c r="H647" s="97" t="s">
        <v>4</v>
      </c>
    </row>
    <row r="648" spans="1:8">
      <c r="A648" s="97" t="s">
        <v>87</v>
      </c>
      <c r="B648" s="97" t="s">
        <v>107</v>
      </c>
      <c r="C648" s="97" t="s">
        <v>13</v>
      </c>
      <c r="D648" s="97">
        <v>0</v>
      </c>
      <c r="E648" s="97">
        <v>0</v>
      </c>
      <c r="F648" s="97">
        <v>500</v>
      </c>
      <c r="G648" s="97" t="s">
        <v>27</v>
      </c>
      <c r="H648" s="97" t="s">
        <v>4</v>
      </c>
    </row>
    <row r="649" spans="1:8">
      <c r="A649" s="97" t="s">
        <v>87</v>
      </c>
      <c r="B649" s="97" t="s">
        <v>107</v>
      </c>
      <c r="C649" s="97" t="s">
        <v>13</v>
      </c>
      <c r="D649" s="97">
        <v>0</v>
      </c>
      <c r="E649" s="97">
        <v>0</v>
      </c>
      <c r="F649" s="97">
        <v>500</v>
      </c>
      <c r="G649" s="97" t="s">
        <v>28</v>
      </c>
      <c r="H649" s="97" t="s">
        <v>4</v>
      </c>
    </row>
    <row r="650" spans="1:8">
      <c r="A650" s="97" t="s">
        <v>87</v>
      </c>
      <c r="B650" s="97" t="s">
        <v>107</v>
      </c>
      <c r="C650" s="97" t="s">
        <v>13</v>
      </c>
      <c r="D650" s="97">
        <v>0</v>
      </c>
      <c r="E650" s="97">
        <v>0</v>
      </c>
      <c r="F650" s="97">
        <v>500</v>
      </c>
      <c r="G650" s="97" t="s">
        <v>29</v>
      </c>
      <c r="H650" s="97" t="s">
        <v>4</v>
      </c>
    </row>
    <row r="651" spans="1:8">
      <c r="A651" s="97" t="s">
        <v>87</v>
      </c>
      <c r="B651" s="97" t="s">
        <v>107</v>
      </c>
      <c r="C651" s="97" t="s">
        <v>13</v>
      </c>
      <c r="D651" s="97">
        <v>0</v>
      </c>
      <c r="E651" s="97">
        <v>0</v>
      </c>
      <c r="F651" s="97">
        <v>500</v>
      </c>
      <c r="G651" s="97" t="s">
        <v>30</v>
      </c>
      <c r="H651" s="97" t="s">
        <v>4</v>
      </c>
    </row>
    <row r="652" spans="1:8">
      <c r="A652" s="97" t="s">
        <v>87</v>
      </c>
      <c r="B652" s="97" t="s">
        <v>107</v>
      </c>
      <c r="C652" s="97" t="s">
        <v>13</v>
      </c>
      <c r="D652" s="97">
        <v>0</v>
      </c>
      <c r="E652" s="97">
        <v>0</v>
      </c>
      <c r="F652" s="97">
        <v>500</v>
      </c>
      <c r="G652" s="97" t="s">
        <v>31</v>
      </c>
      <c r="H652" s="97" t="s">
        <v>4</v>
      </c>
    </row>
    <row r="653" spans="1:8">
      <c r="A653" s="97" t="s">
        <v>87</v>
      </c>
      <c r="B653" s="97" t="s">
        <v>107</v>
      </c>
      <c r="C653" s="97" t="s">
        <v>13</v>
      </c>
      <c r="D653" s="97">
        <v>0</v>
      </c>
      <c r="E653" s="97">
        <v>0</v>
      </c>
      <c r="F653" s="97">
        <v>500</v>
      </c>
      <c r="G653" s="97" t="s">
        <v>32</v>
      </c>
      <c r="H653" s="97" t="s">
        <v>10</v>
      </c>
    </row>
    <row r="654" spans="1:8">
      <c r="A654" s="97" t="s">
        <v>87</v>
      </c>
      <c r="B654" s="97" t="s">
        <v>107</v>
      </c>
      <c r="C654" s="97" t="s">
        <v>13</v>
      </c>
      <c r="D654" s="97">
        <v>0</v>
      </c>
      <c r="E654" s="97">
        <v>0</v>
      </c>
      <c r="F654" s="97">
        <v>500</v>
      </c>
      <c r="G654" s="97" t="s">
        <v>33</v>
      </c>
      <c r="H654" s="97" t="s">
        <v>4</v>
      </c>
    </row>
    <row r="655" spans="1:8">
      <c r="A655" s="97" t="s">
        <v>87</v>
      </c>
      <c r="B655" s="97" t="s">
        <v>107</v>
      </c>
      <c r="C655" s="97" t="s">
        <v>13</v>
      </c>
      <c r="D655" s="97">
        <v>0</v>
      </c>
      <c r="E655" s="97">
        <v>0</v>
      </c>
      <c r="F655" s="97">
        <v>500</v>
      </c>
      <c r="G655" s="97" t="s">
        <v>34</v>
      </c>
      <c r="H655" s="97" t="s">
        <v>4</v>
      </c>
    </row>
    <row r="656" spans="1:8">
      <c r="A656" s="97" t="s">
        <v>87</v>
      </c>
      <c r="B656" s="97" t="s">
        <v>107</v>
      </c>
      <c r="C656" s="97" t="s">
        <v>13</v>
      </c>
      <c r="D656" s="97">
        <v>0</v>
      </c>
      <c r="E656" s="97">
        <v>0</v>
      </c>
      <c r="F656" s="97">
        <v>500</v>
      </c>
      <c r="G656" s="97" t="s">
        <v>129</v>
      </c>
      <c r="H656" s="97">
        <v>500</v>
      </c>
    </row>
    <row r="657" spans="1:8">
      <c r="A657" s="97" t="s">
        <v>87</v>
      </c>
      <c r="B657" s="97" t="s">
        <v>107</v>
      </c>
      <c r="C657" s="97" t="s">
        <v>13</v>
      </c>
      <c r="D657" s="97">
        <v>0</v>
      </c>
      <c r="E657" s="97">
        <v>0</v>
      </c>
      <c r="F657" s="97">
        <v>500</v>
      </c>
      <c r="G657" s="97" t="s">
        <v>132</v>
      </c>
      <c r="H657" s="97">
        <v>1</v>
      </c>
    </row>
    <row r="658" spans="1:8">
      <c r="A658" s="97" t="s">
        <v>87</v>
      </c>
      <c r="B658" s="97" t="s">
        <v>107</v>
      </c>
      <c r="C658" s="97" t="s">
        <v>13</v>
      </c>
      <c r="D658" s="97">
        <v>0</v>
      </c>
      <c r="E658" s="97">
        <v>0</v>
      </c>
      <c r="F658" s="97">
        <v>500</v>
      </c>
      <c r="G658" s="97" t="s">
        <v>147</v>
      </c>
      <c r="H658" s="97" t="s">
        <v>149</v>
      </c>
    </row>
    <row r="659" spans="1:8">
      <c r="A659" s="97" t="s">
        <v>108</v>
      </c>
      <c r="B659" s="97" t="s">
        <v>106</v>
      </c>
      <c r="C659" s="97" t="s">
        <v>12</v>
      </c>
      <c r="D659" s="97">
        <v>0</v>
      </c>
      <c r="E659" s="97">
        <v>0</v>
      </c>
      <c r="F659" s="97">
        <v>1000</v>
      </c>
      <c r="G659" s="97" t="s">
        <v>24</v>
      </c>
      <c r="H659" s="97" t="s">
        <v>4</v>
      </c>
    </row>
    <row r="660" spans="1:8">
      <c r="A660" s="97" t="s">
        <v>108</v>
      </c>
      <c r="B660" s="97" t="s">
        <v>106</v>
      </c>
      <c r="C660" s="97" t="s">
        <v>12</v>
      </c>
      <c r="D660" s="97">
        <v>0</v>
      </c>
      <c r="E660" s="97">
        <v>0</v>
      </c>
      <c r="F660" s="97">
        <v>1000</v>
      </c>
      <c r="G660" s="97" t="s">
        <v>25</v>
      </c>
      <c r="H660" s="97" t="s">
        <v>10</v>
      </c>
    </row>
    <row r="661" spans="1:8">
      <c r="A661" s="97" t="s">
        <v>108</v>
      </c>
      <c r="B661" s="97" t="s">
        <v>106</v>
      </c>
      <c r="C661" s="97" t="s">
        <v>12</v>
      </c>
      <c r="D661" s="97">
        <v>0</v>
      </c>
      <c r="E661" s="97">
        <v>0</v>
      </c>
      <c r="F661" s="97">
        <v>1000</v>
      </c>
      <c r="G661" s="97" t="s">
        <v>26</v>
      </c>
      <c r="H661" s="97" t="s">
        <v>4</v>
      </c>
    </row>
    <row r="662" spans="1:8">
      <c r="A662" s="97" t="s">
        <v>108</v>
      </c>
      <c r="B662" s="97" t="s">
        <v>106</v>
      </c>
      <c r="C662" s="97" t="s">
        <v>12</v>
      </c>
      <c r="D662" s="97">
        <v>0</v>
      </c>
      <c r="E662" s="97">
        <v>0</v>
      </c>
      <c r="F662" s="97">
        <v>1000</v>
      </c>
      <c r="G662" s="97" t="s">
        <v>27</v>
      </c>
      <c r="H662" s="97" t="s">
        <v>8</v>
      </c>
    </row>
    <row r="663" spans="1:8">
      <c r="A663" s="97" t="s">
        <v>108</v>
      </c>
      <c r="B663" s="97" t="s">
        <v>106</v>
      </c>
      <c r="C663" s="97" t="s">
        <v>12</v>
      </c>
      <c r="D663" s="97">
        <v>0</v>
      </c>
      <c r="E663" s="97">
        <v>0</v>
      </c>
      <c r="F663" s="97">
        <v>1000</v>
      </c>
      <c r="G663" s="97" t="s">
        <v>28</v>
      </c>
      <c r="H663" s="97" t="s">
        <v>4</v>
      </c>
    </row>
    <row r="664" spans="1:8">
      <c r="A664" s="97" t="s">
        <v>108</v>
      </c>
      <c r="B664" s="97" t="s">
        <v>106</v>
      </c>
      <c r="C664" s="97" t="s">
        <v>12</v>
      </c>
      <c r="D664" s="97">
        <v>0</v>
      </c>
      <c r="E664" s="97">
        <v>0</v>
      </c>
      <c r="F664" s="97">
        <v>1000</v>
      </c>
      <c r="G664" s="97" t="s">
        <v>29</v>
      </c>
      <c r="H664" s="97" t="s">
        <v>4</v>
      </c>
    </row>
    <row r="665" spans="1:8">
      <c r="A665" s="97" t="s">
        <v>108</v>
      </c>
      <c r="B665" s="97" t="s">
        <v>106</v>
      </c>
      <c r="C665" s="97" t="s">
        <v>12</v>
      </c>
      <c r="D665" s="97">
        <v>0</v>
      </c>
      <c r="E665" s="97">
        <v>0</v>
      </c>
      <c r="F665" s="97">
        <v>1000</v>
      </c>
      <c r="G665" s="97" t="s">
        <v>30</v>
      </c>
      <c r="H665" s="97" t="s">
        <v>10</v>
      </c>
    </row>
    <row r="666" spans="1:8">
      <c r="A666" s="97" t="s">
        <v>108</v>
      </c>
      <c r="B666" s="97" t="s">
        <v>106</v>
      </c>
      <c r="C666" s="97" t="s">
        <v>12</v>
      </c>
      <c r="D666" s="97">
        <v>0</v>
      </c>
      <c r="E666" s="97">
        <v>0</v>
      </c>
      <c r="F666" s="97">
        <v>1000</v>
      </c>
      <c r="G666" s="97" t="s">
        <v>31</v>
      </c>
      <c r="H666" s="97" t="s">
        <v>4</v>
      </c>
    </row>
    <row r="667" spans="1:8">
      <c r="A667" s="97" t="s">
        <v>108</v>
      </c>
      <c r="B667" s="97" t="s">
        <v>106</v>
      </c>
      <c r="C667" s="97" t="s">
        <v>12</v>
      </c>
      <c r="D667" s="97">
        <v>0</v>
      </c>
      <c r="E667" s="97">
        <v>0</v>
      </c>
      <c r="F667" s="97">
        <v>1000</v>
      </c>
      <c r="G667" s="97" t="s">
        <v>32</v>
      </c>
      <c r="H667" s="97" t="s">
        <v>4</v>
      </c>
    </row>
    <row r="668" spans="1:8">
      <c r="A668" s="97" t="s">
        <v>108</v>
      </c>
      <c r="B668" s="97" t="s">
        <v>106</v>
      </c>
      <c r="C668" s="97" t="s">
        <v>12</v>
      </c>
      <c r="D668" s="97">
        <v>0</v>
      </c>
      <c r="E668" s="97">
        <v>0</v>
      </c>
      <c r="F668" s="97">
        <v>1000</v>
      </c>
      <c r="G668" s="97" t="s">
        <v>33</v>
      </c>
      <c r="H668" s="97" t="s">
        <v>4</v>
      </c>
    </row>
    <row r="669" spans="1:8">
      <c r="A669" s="97" t="s">
        <v>108</v>
      </c>
      <c r="B669" s="97" t="s">
        <v>106</v>
      </c>
      <c r="C669" s="97" t="s">
        <v>12</v>
      </c>
      <c r="D669" s="97">
        <v>0</v>
      </c>
      <c r="E669" s="97">
        <v>0</v>
      </c>
      <c r="F669" s="97">
        <v>1000</v>
      </c>
      <c r="G669" s="97" t="s">
        <v>34</v>
      </c>
      <c r="H669" s="97" t="s">
        <v>4</v>
      </c>
    </row>
    <row r="670" spans="1:8">
      <c r="A670" s="97" t="s">
        <v>108</v>
      </c>
      <c r="B670" s="97" t="s">
        <v>106</v>
      </c>
      <c r="C670" s="97" t="s">
        <v>12</v>
      </c>
      <c r="D670" s="97">
        <v>0</v>
      </c>
      <c r="E670" s="97">
        <v>0</v>
      </c>
      <c r="F670" s="97">
        <v>1000</v>
      </c>
      <c r="G670" s="97" t="s">
        <v>129</v>
      </c>
      <c r="H670" s="97">
        <v>1000</v>
      </c>
    </row>
    <row r="671" spans="1:8">
      <c r="A671" s="97" t="s">
        <v>108</v>
      </c>
      <c r="B671" s="97" t="s">
        <v>106</v>
      </c>
      <c r="C671" s="97" t="s">
        <v>12</v>
      </c>
      <c r="D671" s="97">
        <v>0</v>
      </c>
      <c r="E671" s="97">
        <v>0</v>
      </c>
      <c r="F671" s="97">
        <v>1000</v>
      </c>
      <c r="G671" s="97" t="s">
        <v>132</v>
      </c>
      <c r="H671" s="97">
        <v>2</v>
      </c>
    </row>
    <row r="672" spans="1:8">
      <c r="A672" s="97" t="s">
        <v>108</v>
      </c>
      <c r="B672" s="97" t="s">
        <v>106</v>
      </c>
      <c r="C672" s="97" t="s">
        <v>12</v>
      </c>
      <c r="D672" s="97">
        <v>0</v>
      </c>
      <c r="E672" s="97">
        <v>0</v>
      </c>
      <c r="F672" s="97">
        <v>1000</v>
      </c>
      <c r="G672" s="97" t="s">
        <v>147</v>
      </c>
      <c r="H672" s="97" t="s">
        <v>149</v>
      </c>
    </row>
    <row r="673" spans="1:8">
      <c r="A673" s="97" t="s">
        <v>48</v>
      </c>
      <c r="B673" s="97" t="s">
        <v>106</v>
      </c>
      <c r="C673" s="97" t="s">
        <v>12</v>
      </c>
      <c r="D673" s="97">
        <v>900</v>
      </c>
      <c r="E673" s="97">
        <v>0</v>
      </c>
      <c r="F673" s="97">
        <v>500</v>
      </c>
      <c r="G673" s="97" t="s">
        <v>24</v>
      </c>
      <c r="H673" s="97" t="s">
        <v>6</v>
      </c>
    </row>
    <row r="674" spans="1:8">
      <c r="A674" s="97" t="s">
        <v>48</v>
      </c>
      <c r="B674" s="97" t="s">
        <v>106</v>
      </c>
      <c r="C674" s="97" t="s">
        <v>12</v>
      </c>
      <c r="D674" s="97">
        <v>900</v>
      </c>
      <c r="E674" s="97">
        <v>0</v>
      </c>
      <c r="F674" s="97">
        <v>500</v>
      </c>
      <c r="G674" s="97" t="s">
        <v>25</v>
      </c>
      <c r="H674" s="97" t="s">
        <v>4</v>
      </c>
    </row>
    <row r="675" spans="1:8">
      <c r="A675" s="97" t="s">
        <v>48</v>
      </c>
      <c r="B675" s="97" t="s">
        <v>106</v>
      </c>
      <c r="C675" s="97" t="s">
        <v>12</v>
      </c>
      <c r="D675" s="97">
        <v>900</v>
      </c>
      <c r="E675" s="97">
        <v>0</v>
      </c>
      <c r="F675" s="97">
        <v>500</v>
      </c>
      <c r="G675" s="97" t="s">
        <v>26</v>
      </c>
      <c r="H675" s="97" t="s">
        <v>4</v>
      </c>
    </row>
    <row r="676" spans="1:8">
      <c r="A676" s="97" t="s">
        <v>48</v>
      </c>
      <c r="B676" s="97" t="s">
        <v>106</v>
      </c>
      <c r="C676" s="97" t="s">
        <v>12</v>
      </c>
      <c r="D676" s="97">
        <v>900</v>
      </c>
      <c r="E676" s="97">
        <v>0</v>
      </c>
      <c r="F676" s="97">
        <v>500</v>
      </c>
      <c r="G676" s="97" t="s">
        <v>27</v>
      </c>
      <c r="H676" s="97" t="s">
        <v>6</v>
      </c>
    </row>
    <row r="677" spans="1:8">
      <c r="A677" s="97" t="s">
        <v>48</v>
      </c>
      <c r="B677" s="97" t="s">
        <v>106</v>
      </c>
      <c r="C677" s="97" t="s">
        <v>12</v>
      </c>
      <c r="D677" s="97">
        <v>900</v>
      </c>
      <c r="E677" s="97">
        <v>0</v>
      </c>
      <c r="F677" s="97">
        <v>500</v>
      </c>
      <c r="G677" s="97" t="s">
        <v>28</v>
      </c>
      <c r="H677" s="97" t="s">
        <v>10</v>
      </c>
    </row>
    <row r="678" spans="1:8">
      <c r="A678" s="97" t="s">
        <v>48</v>
      </c>
      <c r="B678" s="97" t="s">
        <v>106</v>
      </c>
      <c r="C678" s="97" t="s">
        <v>12</v>
      </c>
      <c r="D678" s="97">
        <v>900</v>
      </c>
      <c r="E678" s="97">
        <v>0</v>
      </c>
      <c r="F678" s="97">
        <v>500</v>
      </c>
      <c r="G678" s="97" t="s">
        <v>29</v>
      </c>
      <c r="H678" s="97" t="s">
        <v>6</v>
      </c>
    </row>
    <row r="679" spans="1:8">
      <c r="A679" s="97" t="s">
        <v>48</v>
      </c>
      <c r="B679" s="97" t="s">
        <v>106</v>
      </c>
      <c r="C679" s="97" t="s">
        <v>12</v>
      </c>
      <c r="D679" s="97">
        <v>900</v>
      </c>
      <c r="E679" s="97">
        <v>0</v>
      </c>
      <c r="F679" s="97">
        <v>500</v>
      </c>
      <c r="G679" s="97" t="s">
        <v>30</v>
      </c>
      <c r="H679" s="97" t="s">
        <v>4</v>
      </c>
    </row>
    <row r="680" spans="1:8">
      <c r="A680" s="97" t="s">
        <v>48</v>
      </c>
      <c r="B680" s="97" t="s">
        <v>106</v>
      </c>
      <c r="C680" s="97" t="s">
        <v>12</v>
      </c>
      <c r="D680" s="97">
        <v>900</v>
      </c>
      <c r="E680" s="97">
        <v>0</v>
      </c>
      <c r="F680" s="97">
        <v>500</v>
      </c>
      <c r="G680" s="97" t="s">
        <v>31</v>
      </c>
      <c r="H680" s="97" t="s">
        <v>4</v>
      </c>
    </row>
    <row r="681" spans="1:8">
      <c r="A681" s="97" t="s">
        <v>48</v>
      </c>
      <c r="B681" s="97" t="s">
        <v>106</v>
      </c>
      <c r="C681" s="97" t="s">
        <v>12</v>
      </c>
      <c r="D681" s="97">
        <v>900</v>
      </c>
      <c r="E681" s="97">
        <v>0</v>
      </c>
      <c r="F681" s="97">
        <v>500</v>
      </c>
      <c r="G681" s="97" t="s">
        <v>32</v>
      </c>
      <c r="H681" s="97" t="s">
        <v>4</v>
      </c>
    </row>
    <row r="682" spans="1:8">
      <c r="A682" s="97" t="s">
        <v>48</v>
      </c>
      <c r="B682" s="97" t="s">
        <v>106</v>
      </c>
      <c r="C682" s="97" t="s">
        <v>12</v>
      </c>
      <c r="D682" s="97">
        <v>900</v>
      </c>
      <c r="E682" s="97">
        <v>0</v>
      </c>
      <c r="F682" s="97">
        <v>500</v>
      </c>
      <c r="G682" s="97" t="s">
        <v>33</v>
      </c>
      <c r="H682" s="97" t="s">
        <v>4</v>
      </c>
    </row>
    <row r="683" spans="1:8">
      <c r="A683" s="97" t="s">
        <v>48</v>
      </c>
      <c r="B683" s="97" t="s">
        <v>106</v>
      </c>
      <c r="C683" s="97" t="s">
        <v>12</v>
      </c>
      <c r="D683" s="97">
        <v>900</v>
      </c>
      <c r="E683" s="97">
        <v>0</v>
      </c>
      <c r="F683" s="97">
        <v>500</v>
      </c>
      <c r="G683" s="97" t="s">
        <v>34</v>
      </c>
      <c r="H683" s="97" t="s">
        <v>4</v>
      </c>
    </row>
    <row r="684" spans="1:8">
      <c r="A684" s="97" t="s">
        <v>48</v>
      </c>
      <c r="B684" s="97" t="s">
        <v>106</v>
      </c>
      <c r="C684" s="97" t="s">
        <v>12</v>
      </c>
      <c r="D684" s="97">
        <v>900</v>
      </c>
      <c r="E684" s="97">
        <v>0</v>
      </c>
      <c r="F684" s="97">
        <v>500</v>
      </c>
      <c r="G684" s="97" t="s">
        <v>129</v>
      </c>
      <c r="H684" s="97">
        <v>1400</v>
      </c>
    </row>
    <row r="685" spans="1:8">
      <c r="A685" s="97" t="s">
        <v>48</v>
      </c>
      <c r="B685" s="97" t="s">
        <v>106</v>
      </c>
      <c r="C685" s="97" t="s">
        <v>12</v>
      </c>
      <c r="D685" s="97">
        <v>900</v>
      </c>
      <c r="E685" s="97">
        <v>0</v>
      </c>
      <c r="F685" s="97">
        <v>500</v>
      </c>
      <c r="G685" s="97" t="s">
        <v>132</v>
      </c>
      <c r="H685" s="97">
        <v>1</v>
      </c>
    </row>
    <row r="686" spans="1:8">
      <c r="A686" s="97" t="s">
        <v>48</v>
      </c>
      <c r="B686" s="97" t="s">
        <v>106</v>
      </c>
      <c r="C686" s="97" t="s">
        <v>12</v>
      </c>
      <c r="D686" s="97">
        <v>900</v>
      </c>
      <c r="E686" s="97">
        <v>0</v>
      </c>
      <c r="F686" s="97">
        <v>500</v>
      </c>
      <c r="G686" s="97" t="s">
        <v>147</v>
      </c>
      <c r="H686" s="97" t="s">
        <v>149</v>
      </c>
    </row>
    <row r="687" spans="1:8">
      <c r="A687" s="97" t="s">
        <v>98</v>
      </c>
      <c r="B687" s="97" t="s">
        <v>106</v>
      </c>
      <c r="C687" s="97" t="s">
        <v>13</v>
      </c>
      <c r="D687" s="97">
        <v>300</v>
      </c>
      <c r="E687" s="97">
        <v>0</v>
      </c>
      <c r="F687" s="97">
        <v>1500</v>
      </c>
      <c r="G687" s="97" t="s">
        <v>24</v>
      </c>
      <c r="H687" s="97" t="s">
        <v>6</v>
      </c>
    </row>
    <row r="688" spans="1:8">
      <c r="A688" s="97" t="s">
        <v>98</v>
      </c>
      <c r="B688" s="97" t="s">
        <v>106</v>
      </c>
      <c r="C688" s="97" t="s">
        <v>13</v>
      </c>
      <c r="D688" s="97">
        <v>300</v>
      </c>
      <c r="E688" s="97">
        <v>0</v>
      </c>
      <c r="F688" s="97">
        <v>1500</v>
      </c>
      <c r="G688" s="97" t="s">
        <v>25</v>
      </c>
      <c r="H688" s="97" t="s">
        <v>4</v>
      </c>
    </row>
    <row r="689" spans="1:8">
      <c r="A689" s="97" t="s">
        <v>98</v>
      </c>
      <c r="B689" s="97" t="s">
        <v>106</v>
      </c>
      <c r="C689" s="97" t="s">
        <v>13</v>
      </c>
      <c r="D689" s="97">
        <v>300</v>
      </c>
      <c r="E689" s="97">
        <v>0</v>
      </c>
      <c r="F689" s="97">
        <v>1500</v>
      </c>
      <c r="G689" s="97" t="s">
        <v>26</v>
      </c>
      <c r="H689" s="97" t="s">
        <v>10</v>
      </c>
    </row>
    <row r="690" spans="1:8">
      <c r="A690" s="97" t="s">
        <v>98</v>
      </c>
      <c r="B690" s="97" t="s">
        <v>106</v>
      </c>
      <c r="C690" s="97" t="s">
        <v>13</v>
      </c>
      <c r="D690" s="97">
        <v>300</v>
      </c>
      <c r="E690" s="97">
        <v>0</v>
      </c>
      <c r="F690" s="97">
        <v>1500</v>
      </c>
      <c r="G690" s="97" t="s">
        <v>27</v>
      </c>
      <c r="H690" s="97" t="s">
        <v>4</v>
      </c>
    </row>
    <row r="691" spans="1:8">
      <c r="A691" s="97" t="s">
        <v>98</v>
      </c>
      <c r="B691" s="97" t="s">
        <v>106</v>
      </c>
      <c r="C691" s="97" t="s">
        <v>13</v>
      </c>
      <c r="D691" s="97">
        <v>300</v>
      </c>
      <c r="E691" s="97">
        <v>0</v>
      </c>
      <c r="F691" s="97">
        <v>1500</v>
      </c>
      <c r="G691" s="97" t="s">
        <v>28</v>
      </c>
      <c r="H691" s="97" t="s">
        <v>10</v>
      </c>
    </row>
    <row r="692" spans="1:8">
      <c r="A692" s="97" t="s">
        <v>98</v>
      </c>
      <c r="B692" s="97" t="s">
        <v>106</v>
      </c>
      <c r="C692" s="97" t="s">
        <v>13</v>
      </c>
      <c r="D692" s="97">
        <v>300</v>
      </c>
      <c r="E692" s="97">
        <v>0</v>
      </c>
      <c r="F692" s="97">
        <v>1500</v>
      </c>
      <c r="G692" s="97" t="s">
        <v>29</v>
      </c>
      <c r="H692" s="97" t="s">
        <v>4</v>
      </c>
    </row>
    <row r="693" spans="1:8">
      <c r="A693" s="97" t="s">
        <v>98</v>
      </c>
      <c r="B693" s="97" t="s">
        <v>106</v>
      </c>
      <c r="C693" s="97" t="s">
        <v>13</v>
      </c>
      <c r="D693" s="97">
        <v>300</v>
      </c>
      <c r="E693" s="97">
        <v>0</v>
      </c>
      <c r="F693" s="97">
        <v>1500</v>
      </c>
      <c r="G693" s="97" t="s">
        <v>30</v>
      </c>
      <c r="H693" s="97" t="s">
        <v>10</v>
      </c>
    </row>
    <row r="694" spans="1:8">
      <c r="A694" s="97" t="s">
        <v>98</v>
      </c>
      <c r="B694" s="97" t="s">
        <v>106</v>
      </c>
      <c r="C694" s="97" t="s">
        <v>13</v>
      </c>
      <c r="D694" s="97">
        <v>300</v>
      </c>
      <c r="E694" s="97">
        <v>0</v>
      </c>
      <c r="F694" s="97">
        <v>1500</v>
      </c>
      <c r="G694" s="97" t="s">
        <v>31</v>
      </c>
      <c r="H694" s="97" t="s">
        <v>10</v>
      </c>
    </row>
    <row r="695" spans="1:8">
      <c r="A695" s="97" t="s">
        <v>98</v>
      </c>
      <c r="B695" s="97" t="s">
        <v>106</v>
      </c>
      <c r="C695" s="97" t="s">
        <v>13</v>
      </c>
      <c r="D695" s="97">
        <v>300</v>
      </c>
      <c r="E695" s="97">
        <v>0</v>
      </c>
      <c r="F695" s="97">
        <v>1500</v>
      </c>
      <c r="G695" s="97" t="s">
        <v>32</v>
      </c>
      <c r="H695" s="97" t="s">
        <v>4</v>
      </c>
    </row>
    <row r="696" spans="1:8">
      <c r="A696" s="97" t="s">
        <v>98</v>
      </c>
      <c r="B696" s="97" t="s">
        <v>106</v>
      </c>
      <c r="C696" s="97" t="s">
        <v>13</v>
      </c>
      <c r="D696" s="97">
        <v>300</v>
      </c>
      <c r="E696" s="97">
        <v>0</v>
      </c>
      <c r="F696" s="97">
        <v>1500</v>
      </c>
      <c r="G696" s="97" t="s">
        <v>33</v>
      </c>
      <c r="H696" s="97" t="s">
        <v>4</v>
      </c>
    </row>
    <row r="697" spans="1:8">
      <c r="A697" s="97" t="s">
        <v>98</v>
      </c>
      <c r="B697" s="97" t="s">
        <v>106</v>
      </c>
      <c r="C697" s="97" t="s">
        <v>13</v>
      </c>
      <c r="D697" s="97">
        <v>300</v>
      </c>
      <c r="E697" s="97">
        <v>0</v>
      </c>
      <c r="F697" s="97">
        <v>1500</v>
      </c>
      <c r="G697" s="97" t="s">
        <v>34</v>
      </c>
      <c r="H697" s="97" t="s">
        <v>10</v>
      </c>
    </row>
    <row r="698" spans="1:8">
      <c r="A698" s="97" t="s">
        <v>98</v>
      </c>
      <c r="B698" s="97" t="s">
        <v>106</v>
      </c>
      <c r="C698" s="97" t="s">
        <v>13</v>
      </c>
      <c r="D698" s="97">
        <v>300</v>
      </c>
      <c r="E698" s="97">
        <v>0</v>
      </c>
      <c r="F698" s="97">
        <v>1500</v>
      </c>
      <c r="G698" s="97" t="s">
        <v>129</v>
      </c>
      <c r="H698" s="97">
        <v>1800</v>
      </c>
    </row>
    <row r="699" spans="1:8">
      <c r="A699" s="97" t="s">
        <v>98</v>
      </c>
      <c r="B699" s="97" t="s">
        <v>106</v>
      </c>
      <c r="C699" s="97" t="s">
        <v>13</v>
      </c>
      <c r="D699" s="97">
        <v>300</v>
      </c>
      <c r="E699" s="97">
        <v>0</v>
      </c>
      <c r="F699" s="97">
        <v>1500</v>
      </c>
      <c r="G699" s="97" t="s">
        <v>132</v>
      </c>
      <c r="H699" s="97">
        <v>3</v>
      </c>
    </row>
    <row r="700" spans="1:8">
      <c r="A700" s="97" t="s">
        <v>98</v>
      </c>
      <c r="B700" s="97" t="s">
        <v>106</v>
      </c>
      <c r="C700" s="97" t="s">
        <v>13</v>
      </c>
      <c r="D700" s="97">
        <v>300</v>
      </c>
      <c r="E700" s="97">
        <v>0</v>
      </c>
      <c r="F700" s="97">
        <v>1500</v>
      </c>
      <c r="G700" s="97" t="s">
        <v>147</v>
      </c>
      <c r="H700" s="97" t="s">
        <v>149</v>
      </c>
    </row>
    <row r="701" spans="1:8">
      <c r="A701" s="97" t="s">
        <v>97</v>
      </c>
      <c r="B701" s="97" t="s">
        <v>106</v>
      </c>
      <c r="C701" s="97" t="s">
        <v>12</v>
      </c>
      <c r="D701" s="97">
        <v>0</v>
      </c>
      <c r="E701" s="97">
        <v>0</v>
      </c>
      <c r="F701" s="97">
        <v>1000</v>
      </c>
      <c r="G701" s="97" t="s">
        <v>24</v>
      </c>
      <c r="H701" s="97" t="s">
        <v>4</v>
      </c>
    </row>
    <row r="702" spans="1:8">
      <c r="A702" s="97" t="s">
        <v>97</v>
      </c>
      <c r="B702" s="97" t="s">
        <v>106</v>
      </c>
      <c r="C702" s="97" t="s">
        <v>12</v>
      </c>
      <c r="D702" s="97">
        <v>0</v>
      </c>
      <c r="E702" s="97">
        <v>0</v>
      </c>
      <c r="F702" s="97">
        <v>1000</v>
      </c>
      <c r="G702" s="97" t="s">
        <v>25</v>
      </c>
      <c r="H702" s="97" t="s">
        <v>4</v>
      </c>
    </row>
    <row r="703" spans="1:8">
      <c r="A703" s="97" t="s">
        <v>97</v>
      </c>
      <c r="B703" s="97" t="s">
        <v>106</v>
      </c>
      <c r="C703" s="97" t="s">
        <v>12</v>
      </c>
      <c r="D703" s="97">
        <v>0</v>
      </c>
      <c r="E703" s="97">
        <v>0</v>
      </c>
      <c r="F703" s="97">
        <v>1000</v>
      </c>
      <c r="G703" s="97" t="s">
        <v>26</v>
      </c>
      <c r="H703" s="97" t="s">
        <v>8</v>
      </c>
    </row>
    <row r="704" spans="1:8">
      <c r="A704" s="97" t="s">
        <v>97</v>
      </c>
      <c r="B704" s="97" t="s">
        <v>106</v>
      </c>
      <c r="C704" s="97" t="s">
        <v>12</v>
      </c>
      <c r="D704" s="97">
        <v>0</v>
      </c>
      <c r="E704" s="97">
        <v>0</v>
      </c>
      <c r="F704" s="97">
        <v>1000</v>
      </c>
      <c r="G704" s="97" t="s">
        <v>27</v>
      </c>
      <c r="H704" s="97" t="s">
        <v>4</v>
      </c>
    </row>
    <row r="705" spans="1:8">
      <c r="A705" s="97" t="s">
        <v>97</v>
      </c>
      <c r="B705" s="97" t="s">
        <v>106</v>
      </c>
      <c r="C705" s="97" t="s">
        <v>12</v>
      </c>
      <c r="D705" s="97">
        <v>0</v>
      </c>
      <c r="E705" s="97">
        <v>0</v>
      </c>
      <c r="F705" s="97">
        <v>1000</v>
      </c>
      <c r="G705" s="97" t="s">
        <v>28</v>
      </c>
      <c r="H705" s="97" t="s">
        <v>8</v>
      </c>
    </row>
    <row r="706" spans="1:8">
      <c r="A706" s="97" t="s">
        <v>97</v>
      </c>
      <c r="B706" s="97" t="s">
        <v>106</v>
      </c>
      <c r="C706" s="97" t="s">
        <v>12</v>
      </c>
      <c r="D706" s="97">
        <v>0</v>
      </c>
      <c r="E706" s="97">
        <v>0</v>
      </c>
      <c r="F706" s="97">
        <v>1000</v>
      </c>
      <c r="G706" s="97" t="s">
        <v>29</v>
      </c>
      <c r="H706" s="97" t="s">
        <v>4</v>
      </c>
    </row>
    <row r="707" spans="1:8">
      <c r="A707" s="97" t="s">
        <v>97</v>
      </c>
      <c r="B707" s="97" t="s">
        <v>106</v>
      </c>
      <c r="C707" s="97" t="s">
        <v>12</v>
      </c>
      <c r="D707" s="97">
        <v>0</v>
      </c>
      <c r="E707" s="97">
        <v>0</v>
      </c>
      <c r="F707" s="97">
        <v>1000</v>
      </c>
      <c r="G707" s="97" t="s">
        <v>30</v>
      </c>
      <c r="H707" s="97" t="s">
        <v>10</v>
      </c>
    </row>
    <row r="708" spans="1:8">
      <c r="A708" s="97" t="s">
        <v>97</v>
      </c>
      <c r="B708" s="97" t="s">
        <v>106</v>
      </c>
      <c r="C708" s="97" t="s">
        <v>12</v>
      </c>
      <c r="D708" s="97">
        <v>0</v>
      </c>
      <c r="E708" s="97">
        <v>0</v>
      </c>
      <c r="F708" s="97">
        <v>1000</v>
      </c>
      <c r="G708" s="97" t="s">
        <v>31</v>
      </c>
      <c r="H708" s="97" t="s">
        <v>10</v>
      </c>
    </row>
    <row r="709" spans="1:8">
      <c r="A709" s="97" t="s">
        <v>97</v>
      </c>
      <c r="B709" s="97" t="s">
        <v>106</v>
      </c>
      <c r="C709" s="97" t="s">
        <v>12</v>
      </c>
      <c r="D709" s="97">
        <v>0</v>
      </c>
      <c r="E709" s="97">
        <v>0</v>
      </c>
      <c r="F709" s="97">
        <v>1000</v>
      </c>
      <c r="G709" s="97" t="s">
        <v>32</v>
      </c>
      <c r="H709" s="97" t="s">
        <v>4</v>
      </c>
    </row>
    <row r="710" spans="1:8">
      <c r="A710" s="97" t="s">
        <v>97</v>
      </c>
      <c r="B710" s="97" t="s">
        <v>106</v>
      </c>
      <c r="C710" s="97" t="s">
        <v>12</v>
      </c>
      <c r="D710" s="97">
        <v>0</v>
      </c>
      <c r="E710" s="97">
        <v>0</v>
      </c>
      <c r="F710" s="97">
        <v>1000</v>
      </c>
      <c r="G710" s="97" t="s">
        <v>33</v>
      </c>
      <c r="H710" s="97" t="s">
        <v>4</v>
      </c>
    </row>
    <row r="711" spans="1:8">
      <c r="A711" s="97" t="s">
        <v>97</v>
      </c>
      <c r="B711" s="97" t="s">
        <v>106</v>
      </c>
      <c r="C711" s="97" t="s">
        <v>12</v>
      </c>
      <c r="D711" s="97">
        <v>0</v>
      </c>
      <c r="E711" s="97">
        <v>0</v>
      </c>
      <c r="F711" s="97">
        <v>1000</v>
      </c>
      <c r="G711" s="97" t="s">
        <v>34</v>
      </c>
      <c r="H711" s="97" t="s">
        <v>4</v>
      </c>
    </row>
    <row r="712" spans="1:8">
      <c r="A712" s="97" t="s">
        <v>97</v>
      </c>
      <c r="B712" s="97" t="s">
        <v>106</v>
      </c>
      <c r="C712" s="97" t="s">
        <v>12</v>
      </c>
      <c r="D712" s="97">
        <v>0</v>
      </c>
      <c r="E712" s="97">
        <v>0</v>
      </c>
      <c r="F712" s="97">
        <v>1000</v>
      </c>
      <c r="G712" s="97" t="s">
        <v>129</v>
      </c>
      <c r="H712" s="97">
        <v>1000</v>
      </c>
    </row>
    <row r="713" spans="1:8">
      <c r="A713" s="97" t="s">
        <v>97</v>
      </c>
      <c r="B713" s="97" t="s">
        <v>106</v>
      </c>
      <c r="C713" s="97" t="s">
        <v>12</v>
      </c>
      <c r="D713" s="97">
        <v>0</v>
      </c>
      <c r="E713" s="97">
        <v>0</v>
      </c>
      <c r="F713" s="97">
        <v>1000</v>
      </c>
      <c r="G713" s="97" t="s">
        <v>132</v>
      </c>
      <c r="H713" s="97">
        <v>2</v>
      </c>
    </row>
    <row r="714" spans="1:8">
      <c r="A714" s="97" t="s">
        <v>97</v>
      </c>
      <c r="B714" s="97" t="s">
        <v>106</v>
      </c>
      <c r="C714" s="97" t="s">
        <v>12</v>
      </c>
      <c r="D714" s="97">
        <v>0</v>
      </c>
      <c r="E714" s="97">
        <v>0</v>
      </c>
      <c r="F714" s="97">
        <v>1000</v>
      </c>
      <c r="G714" s="97" t="s">
        <v>147</v>
      </c>
      <c r="H714" s="97" t="s">
        <v>149</v>
      </c>
    </row>
    <row r="715" spans="1:8">
      <c r="A715" s="97" t="s">
        <v>79</v>
      </c>
      <c r="B715" s="97" t="s">
        <v>107</v>
      </c>
      <c r="C715" s="97" t="s">
        <v>12</v>
      </c>
      <c r="D715" s="97">
        <v>600</v>
      </c>
      <c r="E715" s="97">
        <v>0</v>
      </c>
      <c r="F715" s="97">
        <v>4000</v>
      </c>
      <c r="G715" s="97" t="s">
        <v>24</v>
      </c>
      <c r="H715" s="97" t="s">
        <v>10</v>
      </c>
    </row>
    <row r="716" spans="1:8">
      <c r="A716" s="97" t="s">
        <v>79</v>
      </c>
      <c r="B716" s="97" t="s">
        <v>107</v>
      </c>
      <c r="C716" s="97" t="s">
        <v>12</v>
      </c>
      <c r="D716" s="97">
        <v>600</v>
      </c>
      <c r="E716" s="97">
        <v>0</v>
      </c>
      <c r="F716" s="97">
        <v>4000</v>
      </c>
      <c r="G716" s="97" t="s">
        <v>25</v>
      </c>
      <c r="H716" s="97" t="s">
        <v>6</v>
      </c>
    </row>
    <row r="717" spans="1:8">
      <c r="A717" s="97" t="s">
        <v>79</v>
      </c>
      <c r="B717" s="97" t="s">
        <v>107</v>
      </c>
      <c r="C717" s="97" t="s">
        <v>12</v>
      </c>
      <c r="D717" s="97">
        <v>600</v>
      </c>
      <c r="E717" s="97">
        <v>0</v>
      </c>
      <c r="F717" s="97">
        <v>4000</v>
      </c>
      <c r="G717" s="97" t="s">
        <v>26</v>
      </c>
      <c r="H717" s="97" t="s">
        <v>10</v>
      </c>
    </row>
    <row r="718" spans="1:8">
      <c r="A718" s="97" t="s">
        <v>79</v>
      </c>
      <c r="B718" s="97" t="s">
        <v>107</v>
      </c>
      <c r="C718" s="97" t="s">
        <v>12</v>
      </c>
      <c r="D718" s="97">
        <v>600</v>
      </c>
      <c r="E718" s="97">
        <v>0</v>
      </c>
      <c r="F718" s="97">
        <v>4000</v>
      </c>
      <c r="G718" s="97" t="s">
        <v>27</v>
      </c>
      <c r="H718" s="97" t="s">
        <v>6</v>
      </c>
    </row>
    <row r="719" spans="1:8">
      <c r="A719" s="97" t="s">
        <v>79</v>
      </c>
      <c r="B719" s="97" t="s">
        <v>107</v>
      </c>
      <c r="C719" s="97" t="s">
        <v>12</v>
      </c>
      <c r="D719" s="97">
        <v>600</v>
      </c>
      <c r="E719" s="97">
        <v>0</v>
      </c>
      <c r="F719" s="97">
        <v>4000</v>
      </c>
      <c r="G719" s="97" t="s">
        <v>28</v>
      </c>
      <c r="H719" s="97" t="s">
        <v>10</v>
      </c>
    </row>
    <row r="720" spans="1:8">
      <c r="A720" s="97" t="s">
        <v>79</v>
      </c>
      <c r="B720" s="97" t="s">
        <v>107</v>
      </c>
      <c r="C720" s="97" t="s">
        <v>12</v>
      </c>
      <c r="D720" s="97">
        <v>600</v>
      </c>
      <c r="E720" s="97">
        <v>0</v>
      </c>
      <c r="F720" s="97">
        <v>4000</v>
      </c>
      <c r="G720" s="97" t="s">
        <v>29</v>
      </c>
      <c r="H720" s="97" t="s">
        <v>4</v>
      </c>
    </row>
    <row r="721" spans="1:8">
      <c r="A721" s="97" t="s">
        <v>79</v>
      </c>
      <c r="B721" s="97" t="s">
        <v>107</v>
      </c>
      <c r="C721" s="97" t="s">
        <v>12</v>
      </c>
      <c r="D721" s="97">
        <v>600</v>
      </c>
      <c r="E721" s="97">
        <v>0</v>
      </c>
      <c r="F721" s="97">
        <v>4000</v>
      </c>
      <c r="G721" s="97" t="s">
        <v>30</v>
      </c>
      <c r="H721" s="97" t="s">
        <v>10</v>
      </c>
    </row>
    <row r="722" spans="1:8">
      <c r="A722" s="97" t="s">
        <v>79</v>
      </c>
      <c r="B722" s="97" t="s">
        <v>107</v>
      </c>
      <c r="C722" s="97" t="s">
        <v>12</v>
      </c>
      <c r="D722" s="97">
        <v>600</v>
      </c>
      <c r="E722" s="97">
        <v>0</v>
      </c>
      <c r="F722" s="97">
        <v>4000</v>
      </c>
      <c r="G722" s="97" t="s">
        <v>31</v>
      </c>
      <c r="H722" s="97" t="s">
        <v>10</v>
      </c>
    </row>
    <row r="723" spans="1:8">
      <c r="A723" s="97" t="s">
        <v>79</v>
      </c>
      <c r="B723" s="97" t="s">
        <v>107</v>
      </c>
      <c r="C723" s="97" t="s">
        <v>12</v>
      </c>
      <c r="D723" s="97">
        <v>600</v>
      </c>
      <c r="E723" s="97">
        <v>0</v>
      </c>
      <c r="F723" s="97">
        <v>4000</v>
      </c>
      <c r="G723" s="97" t="s">
        <v>32</v>
      </c>
      <c r="H723" s="97" t="s">
        <v>10</v>
      </c>
    </row>
    <row r="724" spans="1:8">
      <c r="A724" s="97" t="s">
        <v>79</v>
      </c>
      <c r="B724" s="97" t="s">
        <v>107</v>
      </c>
      <c r="C724" s="97" t="s">
        <v>12</v>
      </c>
      <c r="D724" s="97">
        <v>600</v>
      </c>
      <c r="E724" s="97">
        <v>0</v>
      </c>
      <c r="F724" s="97">
        <v>4000</v>
      </c>
      <c r="G724" s="97" t="s">
        <v>33</v>
      </c>
      <c r="H724" s="97" t="s">
        <v>10</v>
      </c>
    </row>
    <row r="725" spans="1:8">
      <c r="A725" s="97" t="s">
        <v>79</v>
      </c>
      <c r="B725" s="97" t="s">
        <v>107</v>
      </c>
      <c r="C725" s="97" t="s">
        <v>12</v>
      </c>
      <c r="D725" s="97">
        <v>600</v>
      </c>
      <c r="E725" s="97">
        <v>0</v>
      </c>
      <c r="F725" s="97">
        <v>4000</v>
      </c>
      <c r="G725" s="97" t="s">
        <v>34</v>
      </c>
      <c r="H725" s="97" t="s">
        <v>10</v>
      </c>
    </row>
    <row r="726" spans="1:8">
      <c r="A726" s="97" t="s">
        <v>79</v>
      </c>
      <c r="B726" s="97" t="s">
        <v>107</v>
      </c>
      <c r="C726" s="97" t="s">
        <v>12</v>
      </c>
      <c r="D726" s="97">
        <v>600</v>
      </c>
      <c r="E726" s="97">
        <v>0</v>
      </c>
      <c r="F726" s="97">
        <v>4000</v>
      </c>
      <c r="G726" s="97" t="s">
        <v>129</v>
      </c>
      <c r="H726" s="97">
        <v>4600</v>
      </c>
    </row>
    <row r="727" spans="1:8">
      <c r="A727" s="97" t="s">
        <v>79</v>
      </c>
      <c r="B727" s="97" t="s">
        <v>107</v>
      </c>
      <c r="C727" s="97" t="s">
        <v>12</v>
      </c>
      <c r="D727" s="97">
        <v>600</v>
      </c>
      <c r="E727" s="97">
        <v>0</v>
      </c>
      <c r="F727" s="97">
        <v>4000</v>
      </c>
      <c r="G727" s="97" t="s">
        <v>132</v>
      </c>
      <c r="H727" s="97">
        <v>8</v>
      </c>
    </row>
    <row r="728" spans="1:8">
      <c r="A728" s="97" t="s">
        <v>79</v>
      </c>
      <c r="B728" s="97" t="s">
        <v>107</v>
      </c>
      <c r="C728" s="97" t="s">
        <v>12</v>
      </c>
      <c r="D728" s="97">
        <v>600</v>
      </c>
      <c r="E728" s="97">
        <v>0</v>
      </c>
      <c r="F728" s="97">
        <v>4000</v>
      </c>
      <c r="G728" s="97" t="s">
        <v>147</v>
      </c>
      <c r="H728" s="97" t="s">
        <v>149</v>
      </c>
    </row>
    <row r="729" spans="1:8">
      <c r="A729" s="97" t="s">
        <v>66</v>
      </c>
      <c r="B729" s="97" t="s">
        <v>107</v>
      </c>
      <c r="C729" s="97" t="s">
        <v>16</v>
      </c>
      <c r="D729" s="97">
        <v>0</v>
      </c>
      <c r="E729" s="97">
        <v>0</v>
      </c>
      <c r="F729" s="97">
        <v>0</v>
      </c>
      <c r="G729" s="97" t="s">
        <v>24</v>
      </c>
      <c r="H729" s="97" t="s">
        <v>4</v>
      </c>
    </row>
    <row r="730" spans="1:8">
      <c r="A730" s="97" t="s">
        <v>66</v>
      </c>
      <c r="B730" s="97" t="s">
        <v>107</v>
      </c>
      <c r="C730" s="97" t="s">
        <v>16</v>
      </c>
      <c r="D730" s="97">
        <v>0</v>
      </c>
      <c r="E730" s="97">
        <v>0</v>
      </c>
      <c r="F730" s="97">
        <v>0</v>
      </c>
      <c r="G730" s="97" t="s">
        <v>25</v>
      </c>
      <c r="H730" s="97" t="s">
        <v>4</v>
      </c>
    </row>
    <row r="731" spans="1:8">
      <c r="A731" s="97" t="s">
        <v>66</v>
      </c>
      <c r="B731" s="97" t="s">
        <v>107</v>
      </c>
      <c r="C731" s="97" t="s">
        <v>16</v>
      </c>
      <c r="D731" s="97">
        <v>0</v>
      </c>
      <c r="E731" s="97">
        <v>0</v>
      </c>
      <c r="F731" s="97">
        <v>0</v>
      </c>
      <c r="G731" s="97" t="s">
        <v>26</v>
      </c>
      <c r="H731" s="97" t="s">
        <v>4</v>
      </c>
    </row>
    <row r="732" spans="1:8">
      <c r="A732" s="97" t="s">
        <v>66</v>
      </c>
      <c r="B732" s="97" t="s">
        <v>107</v>
      </c>
      <c r="C732" s="97" t="s">
        <v>16</v>
      </c>
      <c r="D732" s="97">
        <v>0</v>
      </c>
      <c r="E732" s="97">
        <v>0</v>
      </c>
      <c r="F732" s="97">
        <v>0</v>
      </c>
      <c r="G732" s="97" t="s">
        <v>27</v>
      </c>
      <c r="H732" s="97" t="s">
        <v>4</v>
      </c>
    </row>
    <row r="733" spans="1:8">
      <c r="A733" s="97" t="s">
        <v>66</v>
      </c>
      <c r="B733" s="97" t="s">
        <v>107</v>
      </c>
      <c r="C733" s="97" t="s">
        <v>16</v>
      </c>
      <c r="D733" s="97">
        <v>0</v>
      </c>
      <c r="E733" s="97">
        <v>0</v>
      </c>
      <c r="F733" s="97">
        <v>0</v>
      </c>
      <c r="G733" s="97" t="s">
        <v>28</v>
      </c>
      <c r="H733" s="97" t="s">
        <v>4</v>
      </c>
    </row>
    <row r="734" spans="1:8">
      <c r="A734" s="97" t="s">
        <v>66</v>
      </c>
      <c r="B734" s="97" t="s">
        <v>107</v>
      </c>
      <c r="C734" s="97" t="s">
        <v>16</v>
      </c>
      <c r="D734" s="97">
        <v>0</v>
      </c>
      <c r="E734" s="97">
        <v>0</v>
      </c>
      <c r="F734" s="97">
        <v>0</v>
      </c>
      <c r="G734" s="97" t="s">
        <v>29</v>
      </c>
      <c r="H734" s="97" t="s">
        <v>8</v>
      </c>
    </row>
    <row r="735" spans="1:8">
      <c r="A735" s="97" t="s">
        <v>66</v>
      </c>
      <c r="B735" s="97" t="s">
        <v>107</v>
      </c>
      <c r="C735" s="97" t="s">
        <v>16</v>
      </c>
      <c r="D735" s="97">
        <v>0</v>
      </c>
      <c r="E735" s="97">
        <v>0</v>
      </c>
      <c r="F735" s="97">
        <v>0</v>
      </c>
      <c r="G735" s="97" t="s">
        <v>30</v>
      </c>
      <c r="H735" s="97" t="s">
        <v>4</v>
      </c>
    </row>
    <row r="736" spans="1:8">
      <c r="A736" s="97" t="s">
        <v>66</v>
      </c>
      <c r="B736" s="97" t="s">
        <v>107</v>
      </c>
      <c r="C736" s="97" t="s">
        <v>16</v>
      </c>
      <c r="D736" s="97">
        <v>0</v>
      </c>
      <c r="E736" s="97">
        <v>0</v>
      </c>
      <c r="F736" s="97">
        <v>0</v>
      </c>
      <c r="G736" s="97" t="s">
        <v>31</v>
      </c>
      <c r="H736" s="97" t="s">
        <v>4</v>
      </c>
    </row>
    <row r="737" spans="1:8">
      <c r="A737" s="97" t="s">
        <v>66</v>
      </c>
      <c r="B737" s="97" t="s">
        <v>107</v>
      </c>
      <c r="C737" s="97" t="s">
        <v>16</v>
      </c>
      <c r="D737" s="97">
        <v>0</v>
      </c>
      <c r="E737" s="97">
        <v>0</v>
      </c>
      <c r="F737" s="97">
        <v>0</v>
      </c>
      <c r="G737" s="97" t="s">
        <v>32</v>
      </c>
      <c r="H737" s="97" t="s">
        <v>4</v>
      </c>
    </row>
    <row r="738" spans="1:8">
      <c r="A738" s="97" t="s">
        <v>66</v>
      </c>
      <c r="B738" s="97" t="s">
        <v>107</v>
      </c>
      <c r="C738" s="97" t="s">
        <v>16</v>
      </c>
      <c r="D738" s="97">
        <v>0</v>
      </c>
      <c r="E738" s="97">
        <v>0</v>
      </c>
      <c r="F738" s="97">
        <v>0</v>
      </c>
      <c r="G738" s="97" t="s">
        <v>33</v>
      </c>
      <c r="H738" s="97" t="s">
        <v>4</v>
      </c>
    </row>
    <row r="739" spans="1:8">
      <c r="A739" s="97" t="s">
        <v>66</v>
      </c>
      <c r="B739" s="97" t="s">
        <v>107</v>
      </c>
      <c r="C739" s="97" t="s">
        <v>16</v>
      </c>
      <c r="D739" s="97">
        <v>0</v>
      </c>
      <c r="E739" s="97">
        <v>0</v>
      </c>
      <c r="F739" s="97">
        <v>0</v>
      </c>
      <c r="G739" s="97" t="s">
        <v>34</v>
      </c>
      <c r="H739" s="97" t="s">
        <v>4</v>
      </c>
    </row>
    <row r="740" spans="1:8">
      <c r="A740" s="97" t="s">
        <v>66</v>
      </c>
      <c r="B740" s="97" t="s">
        <v>107</v>
      </c>
      <c r="C740" s="97" t="s">
        <v>16</v>
      </c>
      <c r="D740" s="97">
        <v>0</v>
      </c>
      <c r="E740" s="97">
        <v>0</v>
      </c>
      <c r="F740" s="97">
        <v>0</v>
      </c>
      <c r="G740" s="97" t="s">
        <v>129</v>
      </c>
      <c r="H740" s="97">
        <v>0</v>
      </c>
    </row>
    <row r="741" spans="1:8">
      <c r="A741" s="97" t="s">
        <v>66</v>
      </c>
      <c r="B741" s="97" t="s">
        <v>107</v>
      </c>
      <c r="C741" s="97" t="s">
        <v>16</v>
      </c>
      <c r="D741" s="97">
        <v>0</v>
      </c>
      <c r="E741" s="97">
        <v>0</v>
      </c>
      <c r="F741" s="97">
        <v>0</v>
      </c>
      <c r="G741" s="97" t="s">
        <v>132</v>
      </c>
      <c r="H741" s="97">
        <v>0</v>
      </c>
    </row>
    <row r="742" spans="1:8">
      <c r="A742" s="97" t="s">
        <v>66</v>
      </c>
      <c r="B742" s="97" t="s">
        <v>107</v>
      </c>
      <c r="C742" s="97" t="s">
        <v>16</v>
      </c>
      <c r="D742" s="97">
        <v>0</v>
      </c>
      <c r="E742" s="97">
        <v>0</v>
      </c>
      <c r="F742" s="97">
        <v>0</v>
      </c>
      <c r="G742" s="97" t="s">
        <v>147</v>
      </c>
      <c r="H742" s="97" t="s">
        <v>148</v>
      </c>
    </row>
    <row r="743" spans="1:8">
      <c r="A743" s="97" t="s">
        <v>91</v>
      </c>
      <c r="B743" s="97" t="s">
        <v>107</v>
      </c>
      <c r="C743" s="97" t="s">
        <v>12</v>
      </c>
      <c r="D743" s="97">
        <v>600</v>
      </c>
      <c r="E743" s="97">
        <v>0</v>
      </c>
      <c r="F743" s="97">
        <v>500</v>
      </c>
      <c r="G743" s="97" t="s">
        <v>24</v>
      </c>
      <c r="H743" s="97" t="s">
        <v>4</v>
      </c>
    </row>
    <row r="744" spans="1:8">
      <c r="A744" s="97" t="s">
        <v>91</v>
      </c>
      <c r="B744" s="97" t="s">
        <v>107</v>
      </c>
      <c r="C744" s="97" t="s">
        <v>12</v>
      </c>
      <c r="D744" s="97">
        <v>600</v>
      </c>
      <c r="E744" s="97">
        <v>0</v>
      </c>
      <c r="F744" s="97">
        <v>500</v>
      </c>
      <c r="G744" s="97" t="s">
        <v>25</v>
      </c>
      <c r="H744" s="97" t="s">
        <v>4</v>
      </c>
    </row>
    <row r="745" spans="1:8">
      <c r="A745" s="97" t="s">
        <v>91</v>
      </c>
      <c r="B745" s="97" t="s">
        <v>107</v>
      </c>
      <c r="C745" s="97" t="s">
        <v>12</v>
      </c>
      <c r="D745" s="97">
        <v>600</v>
      </c>
      <c r="E745" s="97">
        <v>0</v>
      </c>
      <c r="F745" s="97">
        <v>500</v>
      </c>
      <c r="G745" s="97" t="s">
        <v>26</v>
      </c>
      <c r="H745" s="97" t="s">
        <v>4</v>
      </c>
    </row>
    <row r="746" spans="1:8">
      <c r="A746" s="97" t="s">
        <v>91</v>
      </c>
      <c r="B746" s="97" t="s">
        <v>107</v>
      </c>
      <c r="C746" s="97" t="s">
        <v>12</v>
      </c>
      <c r="D746" s="97">
        <v>600</v>
      </c>
      <c r="E746" s="97">
        <v>0</v>
      </c>
      <c r="F746" s="97">
        <v>500</v>
      </c>
      <c r="G746" s="97" t="s">
        <v>27</v>
      </c>
      <c r="H746" s="97" t="s">
        <v>4</v>
      </c>
    </row>
    <row r="747" spans="1:8">
      <c r="A747" s="97" t="s">
        <v>91</v>
      </c>
      <c r="B747" s="97" t="s">
        <v>107</v>
      </c>
      <c r="C747" s="97" t="s">
        <v>12</v>
      </c>
      <c r="D747" s="97">
        <v>600</v>
      </c>
      <c r="E747" s="97">
        <v>0</v>
      </c>
      <c r="F747" s="97">
        <v>500</v>
      </c>
      <c r="G747" s="97" t="s">
        <v>28</v>
      </c>
      <c r="H747" s="97" t="s">
        <v>10</v>
      </c>
    </row>
    <row r="748" spans="1:8">
      <c r="A748" s="97" t="s">
        <v>91</v>
      </c>
      <c r="B748" s="97" t="s">
        <v>107</v>
      </c>
      <c r="C748" s="97" t="s">
        <v>12</v>
      </c>
      <c r="D748" s="97">
        <v>600</v>
      </c>
      <c r="E748" s="97">
        <v>0</v>
      </c>
      <c r="F748" s="97">
        <v>500</v>
      </c>
      <c r="G748" s="97" t="s">
        <v>29</v>
      </c>
      <c r="H748" s="97" t="s">
        <v>4</v>
      </c>
    </row>
    <row r="749" spans="1:8">
      <c r="A749" s="97" t="s">
        <v>91</v>
      </c>
      <c r="B749" s="97" t="s">
        <v>107</v>
      </c>
      <c r="C749" s="97" t="s">
        <v>12</v>
      </c>
      <c r="D749" s="97">
        <v>600</v>
      </c>
      <c r="E749" s="97">
        <v>0</v>
      </c>
      <c r="F749" s="97">
        <v>500</v>
      </c>
      <c r="G749" s="97" t="s">
        <v>30</v>
      </c>
      <c r="H749" s="97" t="s">
        <v>4</v>
      </c>
    </row>
    <row r="750" spans="1:8">
      <c r="A750" s="97" t="s">
        <v>91</v>
      </c>
      <c r="B750" s="97" t="s">
        <v>107</v>
      </c>
      <c r="C750" s="97" t="s">
        <v>12</v>
      </c>
      <c r="D750" s="97">
        <v>600</v>
      </c>
      <c r="E750" s="97">
        <v>0</v>
      </c>
      <c r="F750" s="97">
        <v>500</v>
      </c>
      <c r="G750" s="97" t="s">
        <v>31</v>
      </c>
      <c r="H750" s="97" t="s">
        <v>6</v>
      </c>
    </row>
    <row r="751" spans="1:8">
      <c r="A751" s="97" t="s">
        <v>91</v>
      </c>
      <c r="B751" s="97" t="s">
        <v>107</v>
      </c>
      <c r="C751" s="97" t="s">
        <v>12</v>
      </c>
      <c r="D751" s="97">
        <v>600</v>
      </c>
      <c r="E751" s="97">
        <v>0</v>
      </c>
      <c r="F751" s="97">
        <v>500</v>
      </c>
      <c r="G751" s="97" t="s">
        <v>32</v>
      </c>
      <c r="H751" s="97" t="s">
        <v>4</v>
      </c>
    </row>
    <row r="752" spans="1:8">
      <c r="A752" s="97" t="s">
        <v>91</v>
      </c>
      <c r="B752" s="97" t="s">
        <v>107</v>
      </c>
      <c r="C752" s="97" t="s">
        <v>12</v>
      </c>
      <c r="D752" s="97">
        <v>600</v>
      </c>
      <c r="E752" s="97">
        <v>0</v>
      </c>
      <c r="F752" s="97">
        <v>500</v>
      </c>
      <c r="G752" s="97" t="s">
        <v>33</v>
      </c>
      <c r="H752" s="97" t="s">
        <v>6</v>
      </c>
    </row>
    <row r="753" spans="1:8">
      <c r="A753" s="97" t="s">
        <v>91</v>
      </c>
      <c r="B753" s="97" t="s">
        <v>107</v>
      </c>
      <c r="C753" s="97" t="s">
        <v>12</v>
      </c>
      <c r="D753" s="97">
        <v>600</v>
      </c>
      <c r="E753" s="97">
        <v>0</v>
      </c>
      <c r="F753" s="97">
        <v>500</v>
      </c>
      <c r="G753" s="97" t="s">
        <v>34</v>
      </c>
      <c r="H753" s="97" t="s">
        <v>4</v>
      </c>
    </row>
    <row r="754" spans="1:8">
      <c r="A754" s="97" t="s">
        <v>91</v>
      </c>
      <c r="B754" s="97" t="s">
        <v>107</v>
      </c>
      <c r="C754" s="97" t="s">
        <v>12</v>
      </c>
      <c r="D754" s="97">
        <v>600</v>
      </c>
      <c r="E754" s="97">
        <v>0</v>
      </c>
      <c r="F754" s="97">
        <v>500</v>
      </c>
      <c r="G754" s="97" t="s">
        <v>129</v>
      </c>
      <c r="H754" s="97">
        <v>1100</v>
      </c>
    </row>
    <row r="755" spans="1:8">
      <c r="A755" s="97" t="s">
        <v>91</v>
      </c>
      <c r="B755" s="97" t="s">
        <v>107</v>
      </c>
      <c r="C755" s="97" t="s">
        <v>12</v>
      </c>
      <c r="D755" s="97">
        <v>600</v>
      </c>
      <c r="E755" s="97">
        <v>0</v>
      </c>
      <c r="F755" s="97">
        <v>500</v>
      </c>
      <c r="G755" s="97" t="s">
        <v>132</v>
      </c>
      <c r="H755" s="97">
        <v>1</v>
      </c>
    </row>
    <row r="756" spans="1:8">
      <c r="A756" s="97" t="s">
        <v>91</v>
      </c>
      <c r="B756" s="97" t="s">
        <v>107</v>
      </c>
      <c r="C756" s="97" t="s">
        <v>12</v>
      </c>
      <c r="D756" s="97">
        <v>600</v>
      </c>
      <c r="E756" s="97">
        <v>0</v>
      </c>
      <c r="F756" s="97">
        <v>500</v>
      </c>
      <c r="G756" s="97" t="s">
        <v>147</v>
      </c>
      <c r="H756" s="97" t="s">
        <v>149</v>
      </c>
    </row>
    <row r="757" spans="1:8">
      <c r="A757" s="97" t="s">
        <v>38</v>
      </c>
      <c r="B757" s="97" t="s">
        <v>107</v>
      </c>
      <c r="C757" s="97" t="s">
        <v>12</v>
      </c>
      <c r="D757" s="97">
        <v>300</v>
      </c>
      <c r="E757" s="97">
        <v>0</v>
      </c>
      <c r="F757" s="97">
        <v>500</v>
      </c>
      <c r="G757" s="97" t="s">
        <v>24</v>
      </c>
      <c r="H757" s="97" t="s">
        <v>4</v>
      </c>
    </row>
    <row r="758" spans="1:8">
      <c r="A758" s="97" t="s">
        <v>38</v>
      </c>
      <c r="B758" s="97" t="s">
        <v>107</v>
      </c>
      <c r="C758" s="97" t="s">
        <v>12</v>
      </c>
      <c r="D758" s="97">
        <v>300</v>
      </c>
      <c r="E758" s="97">
        <v>0</v>
      </c>
      <c r="F758" s="97">
        <v>500</v>
      </c>
      <c r="G758" s="97" t="s">
        <v>25</v>
      </c>
      <c r="H758" s="97" t="s">
        <v>4</v>
      </c>
    </row>
    <row r="759" spans="1:8">
      <c r="A759" s="97" t="s">
        <v>38</v>
      </c>
      <c r="B759" s="97" t="s">
        <v>107</v>
      </c>
      <c r="C759" s="97" t="s">
        <v>12</v>
      </c>
      <c r="D759" s="97">
        <v>300</v>
      </c>
      <c r="E759" s="97">
        <v>0</v>
      </c>
      <c r="F759" s="97">
        <v>500</v>
      </c>
      <c r="G759" s="97" t="s">
        <v>26</v>
      </c>
      <c r="H759" s="97" t="s">
        <v>4</v>
      </c>
    </row>
    <row r="760" spans="1:8">
      <c r="A760" s="97" t="s">
        <v>38</v>
      </c>
      <c r="B760" s="97" t="s">
        <v>107</v>
      </c>
      <c r="C760" s="97" t="s">
        <v>12</v>
      </c>
      <c r="D760" s="97">
        <v>300</v>
      </c>
      <c r="E760" s="97">
        <v>0</v>
      </c>
      <c r="F760" s="97">
        <v>500</v>
      </c>
      <c r="G760" s="97" t="s">
        <v>27</v>
      </c>
      <c r="H760" s="97" t="s">
        <v>4</v>
      </c>
    </row>
    <row r="761" spans="1:8">
      <c r="A761" s="97" t="s">
        <v>38</v>
      </c>
      <c r="B761" s="97" t="s">
        <v>107</v>
      </c>
      <c r="C761" s="97" t="s">
        <v>12</v>
      </c>
      <c r="D761" s="97">
        <v>300</v>
      </c>
      <c r="E761" s="97">
        <v>0</v>
      </c>
      <c r="F761" s="97">
        <v>500</v>
      </c>
      <c r="G761" s="97" t="s">
        <v>28</v>
      </c>
      <c r="H761" s="97" t="s">
        <v>4</v>
      </c>
    </row>
    <row r="762" spans="1:8">
      <c r="A762" s="97" t="s">
        <v>38</v>
      </c>
      <c r="B762" s="97" t="s">
        <v>107</v>
      </c>
      <c r="C762" s="97" t="s">
        <v>12</v>
      </c>
      <c r="D762" s="97">
        <v>300</v>
      </c>
      <c r="E762" s="97">
        <v>0</v>
      </c>
      <c r="F762" s="97">
        <v>500</v>
      </c>
      <c r="G762" s="97" t="s">
        <v>29</v>
      </c>
      <c r="H762" s="97" t="s">
        <v>4</v>
      </c>
    </row>
    <row r="763" spans="1:8">
      <c r="A763" s="97" t="s">
        <v>38</v>
      </c>
      <c r="B763" s="97" t="s">
        <v>107</v>
      </c>
      <c r="C763" s="97" t="s">
        <v>12</v>
      </c>
      <c r="D763" s="97">
        <v>300</v>
      </c>
      <c r="E763" s="97">
        <v>0</v>
      </c>
      <c r="F763" s="97">
        <v>500</v>
      </c>
      <c r="G763" s="97" t="s">
        <v>30</v>
      </c>
      <c r="H763" s="97" t="s">
        <v>4</v>
      </c>
    </row>
    <row r="764" spans="1:8">
      <c r="A764" s="97" t="s">
        <v>38</v>
      </c>
      <c r="B764" s="97" t="s">
        <v>107</v>
      </c>
      <c r="C764" s="97" t="s">
        <v>12</v>
      </c>
      <c r="D764" s="97">
        <v>300</v>
      </c>
      <c r="E764" s="97">
        <v>0</v>
      </c>
      <c r="F764" s="97">
        <v>500</v>
      </c>
      <c r="G764" s="97" t="s">
        <v>31</v>
      </c>
      <c r="H764" s="97" t="s">
        <v>6</v>
      </c>
    </row>
    <row r="765" spans="1:8">
      <c r="A765" s="97" t="s">
        <v>38</v>
      </c>
      <c r="B765" s="97" t="s">
        <v>107</v>
      </c>
      <c r="C765" s="97" t="s">
        <v>12</v>
      </c>
      <c r="D765" s="97">
        <v>300</v>
      </c>
      <c r="E765" s="97">
        <v>0</v>
      </c>
      <c r="F765" s="97">
        <v>500</v>
      </c>
      <c r="G765" s="97" t="s">
        <v>32</v>
      </c>
      <c r="H765" s="97" t="s">
        <v>10</v>
      </c>
    </row>
    <row r="766" spans="1:8">
      <c r="A766" s="97" t="s">
        <v>38</v>
      </c>
      <c r="B766" s="97" t="s">
        <v>107</v>
      </c>
      <c r="C766" s="97" t="s">
        <v>12</v>
      </c>
      <c r="D766" s="97">
        <v>300</v>
      </c>
      <c r="E766" s="97">
        <v>0</v>
      </c>
      <c r="F766" s="97">
        <v>500</v>
      </c>
      <c r="G766" s="97" t="s">
        <v>33</v>
      </c>
      <c r="H766" s="97" t="s">
        <v>4</v>
      </c>
    </row>
    <row r="767" spans="1:8">
      <c r="A767" s="97" t="s">
        <v>38</v>
      </c>
      <c r="B767" s="97" t="s">
        <v>107</v>
      </c>
      <c r="C767" s="97" t="s">
        <v>12</v>
      </c>
      <c r="D767" s="97">
        <v>300</v>
      </c>
      <c r="E767" s="97">
        <v>0</v>
      </c>
      <c r="F767" s="97">
        <v>500</v>
      </c>
      <c r="G767" s="97" t="s">
        <v>34</v>
      </c>
      <c r="H767" s="97" t="s">
        <v>4</v>
      </c>
    </row>
    <row r="768" spans="1:8">
      <c r="A768" s="97" t="s">
        <v>38</v>
      </c>
      <c r="B768" s="97" t="s">
        <v>107</v>
      </c>
      <c r="C768" s="97" t="s">
        <v>12</v>
      </c>
      <c r="D768" s="97">
        <v>300</v>
      </c>
      <c r="E768" s="97">
        <v>0</v>
      </c>
      <c r="F768" s="97">
        <v>500</v>
      </c>
      <c r="G768" s="97" t="s">
        <v>129</v>
      </c>
      <c r="H768" s="97">
        <v>800</v>
      </c>
    </row>
    <row r="769" spans="1:8">
      <c r="A769" s="97" t="s">
        <v>38</v>
      </c>
      <c r="B769" s="97" t="s">
        <v>107</v>
      </c>
      <c r="C769" s="97" t="s">
        <v>12</v>
      </c>
      <c r="D769" s="97">
        <v>300</v>
      </c>
      <c r="E769" s="97">
        <v>0</v>
      </c>
      <c r="F769" s="97">
        <v>500</v>
      </c>
      <c r="G769" s="97" t="s">
        <v>132</v>
      </c>
      <c r="H769" s="97">
        <v>1</v>
      </c>
    </row>
    <row r="770" spans="1:8">
      <c r="A770" s="97" t="s">
        <v>38</v>
      </c>
      <c r="B770" s="97" t="s">
        <v>107</v>
      </c>
      <c r="C770" s="97" t="s">
        <v>12</v>
      </c>
      <c r="D770" s="97">
        <v>300</v>
      </c>
      <c r="E770" s="97">
        <v>0</v>
      </c>
      <c r="F770" s="97">
        <v>500</v>
      </c>
      <c r="G770" s="97" t="s">
        <v>147</v>
      </c>
      <c r="H770" s="97" t="s">
        <v>149</v>
      </c>
    </row>
    <row r="771" spans="1:8">
      <c r="A771" s="97" t="s">
        <v>43</v>
      </c>
      <c r="B771" s="97" t="s">
        <v>106</v>
      </c>
      <c r="C771" s="97" t="s">
        <v>13</v>
      </c>
      <c r="D771" s="97">
        <v>300</v>
      </c>
      <c r="E771" s="97">
        <v>0</v>
      </c>
      <c r="F771" s="97">
        <v>0</v>
      </c>
      <c r="G771" s="97" t="s">
        <v>24</v>
      </c>
      <c r="H771" s="97" t="s">
        <v>4</v>
      </c>
    </row>
    <row r="772" spans="1:8">
      <c r="A772" s="97" t="s">
        <v>43</v>
      </c>
      <c r="B772" s="97" t="s">
        <v>106</v>
      </c>
      <c r="C772" s="97" t="s">
        <v>13</v>
      </c>
      <c r="D772" s="97">
        <v>300</v>
      </c>
      <c r="E772" s="97">
        <v>0</v>
      </c>
      <c r="F772" s="97">
        <v>0</v>
      </c>
      <c r="G772" s="97" t="s">
        <v>25</v>
      </c>
      <c r="H772" s="97" t="s">
        <v>4</v>
      </c>
    </row>
    <row r="773" spans="1:8">
      <c r="A773" s="97" t="s">
        <v>43</v>
      </c>
      <c r="B773" s="97" t="s">
        <v>106</v>
      </c>
      <c r="C773" s="97" t="s">
        <v>13</v>
      </c>
      <c r="D773" s="97">
        <v>300</v>
      </c>
      <c r="E773" s="97">
        <v>0</v>
      </c>
      <c r="F773" s="97">
        <v>0</v>
      </c>
      <c r="G773" s="97" t="s">
        <v>26</v>
      </c>
      <c r="H773" s="97" t="s">
        <v>4</v>
      </c>
    </row>
    <row r="774" spans="1:8">
      <c r="A774" s="97" t="s">
        <v>43</v>
      </c>
      <c r="B774" s="97" t="s">
        <v>106</v>
      </c>
      <c r="C774" s="97" t="s">
        <v>13</v>
      </c>
      <c r="D774" s="97">
        <v>300</v>
      </c>
      <c r="E774" s="97">
        <v>0</v>
      </c>
      <c r="F774" s="97">
        <v>0</v>
      </c>
      <c r="G774" s="97" t="s">
        <v>27</v>
      </c>
      <c r="H774" s="97" t="s">
        <v>6</v>
      </c>
    </row>
    <row r="775" spans="1:8">
      <c r="A775" s="97" t="s">
        <v>43</v>
      </c>
      <c r="B775" s="97" t="s">
        <v>106</v>
      </c>
      <c r="C775" s="97" t="s">
        <v>13</v>
      </c>
      <c r="D775" s="97">
        <v>300</v>
      </c>
      <c r="E775" s="97">
        <v>0</v>
      </c>
      <c r="F775" s="97">
        <v>0</v>
      </c>
      <c r="G775" s="97" t="s">
        <v>28</v>
      </c>
      <c r="H775" s="97" t="s">
        <v>8</v>
      </c>
    </row>
    <row r="776" spans="1:8">
      <c r="A776" s="97" t="s">
        <v>43</v>
      </c>
      <c r="B776" s="97" t="s">
        <v>106</v>
      </c>
      <c r="C776" s="97" t="s">
        <v>13</v>
      </c>
      <c r="D776" s="97">
        <v>300</v>
      </c>
      <c r="E776" s="97">
        <v>0</v>
      </c>
      <c r="F776" s="97">
        <v>0</v>
      </c>
      <c r="G776" s="97" t="s">
        <v>29</v>
      </c>
      <c r="H776" s="97" t="s">
        <v>8</v>
      </c>
    </row>
    <row r="777" spans="1:8">
      <c r="A777" s="97" t="s">
        <v>43</v>
      </c>
      <c r="B777" s="97" t="s">
        <v>106</v>
      </c>
      <c r="C777" s="97" t="s">
        <v>13</v>
      </c>
      <c r="D777" s="97">
        <v>300</v>
      </c>
      <c r="E777" s="97">
        <v>0</v>
      </c>
      <c r="F777" s="97">
        <v>0</v>
      </c>
      <c r="G777" s="97" t="s">
        <v>30</v>
      </c>
      <c r="H777" s="97" t="s">
        <v>4</v>
      </c>
    </row>
    <row r="778" spans="1:8">
      <c r="A778" s="97" t="s">
        <v>43</v>
      </c>
      <c r="B778" s="97" t="s">
        <v>106</v>
      </c>
      <c r="C778" s="97" t="s">
        <v>13</v>
      </c>
      <c r="D778" s="97">
        <v>300</v>
      </c>
      <c r="E778" s="97">
        <v>0</v>
      </c>
      <c r="F778" s="97">
        <v>0</v>
      </c>
      <c r="G778" s="97" t="s">
        <v>31</v>
      </c>
      <c r="H778" s="97" t="s">
        <v>4</v>
      </c>
    </row>
    <row r="779" spans="1:8">
      <c r="A779" s="97" t="s">
        <v>43</v>
      </c>
      <c r="B779" s="97" t="s">
        <v>106</v>
      </c>
      <c r="C779" s="97" t="s">
        <v>13</v>
      </c>
      <c r="D779" s="97">
        <v>300</v>
      </c>
      <c r="E779" s="97">
        <v>0</v>
      </c>
      <c r="F779" s="97">
        <v>0</v>
      </c>
      <c r="G779" s="97" t="s">
        <v>32</v>
      </c>
      <c r="H779" s="97" t="s">
        <v>8</v>
      </c>
    </row>
    <row r="780" spans="1:8">
      <c r="A780" s="97" t="s">
        <v>43</v>
      </c>
      <c r="B780" s="97" t="s">
        <v>106</v>
      </c>
      <c r="C780" s="97" t="s">
        <v>13</v>
      </c>
      <c r="D780" s="97">
        <v>300</v>
      </c>
      <c r="E780" s="97">
        <v>0</v>
      </c>
      <c r="F780" s="97">
        <v>0</v>
      </c>
      <c r="G780" s="97" t="s">
        <v>33</v>
      </c>
      <c r="H780" s="97" t="s">
        <v>4</v>
      </c>
    </row>
    <row r="781" spans="1:8">
      <c r="A781" s="97" t="s">
        <v>43</v>
      </c>
      <c r="B781" s="97" t="s">
        <v>106</v>
      </c>
      <c r="C781" s="97" t="s">
        <v>13</v>
      </c>
      <c r="D781" s="97">
        <v>300</v>
      </c>
      <c r="E781" s="97">
        <v>0</v>
      </c>
      <c r="F781" s="97">
        <v>0</v>
      </c>
      <c r="G781" s="97" t="s">
        <v>34</v>
      </c>
      <c r="H781" s="97" t="s">
        <v>4</v>
      </c>
    </row>
    <row r="782" spans="1:8">
      <c r="A782" s="97" t="s">
        <v>43</v>
      </c>
      <c r="B782" s="97" t="s">
        <v>106</v>
      </c>
      <c r="C782" s="97" t="s">
        <v>13</v>
      </c>
      <c r="D782" s="97">
        <v>300</v>
      </c>
      <c r="E782" s="97">
        <v>0</v>
      </c>
      <c r="F782" s="97">
        <v>0</v>
      </c>
      <c r="G782" s="97" t="s">
        <v>129</v>
      </c>
      <c r="H782" s="97">
        <v>300</v>
      </c>
    </row>
    <row r="783" spans="1:8">
      <c r="A783" s="97" t="s">
        <v>43</v>
      </c>
      <c r="B783" s="97" t="s">
        <v>106</v>
      </c>
      <c r="C783" s="97" t="s">
        <v>13</v>
      </c>
      <c r="D783" s="97">
        <v>300</v>
      </c>
      <c r="E783" s="97">
        <v>0</v>
      </c>
      <c r="F783" s="97">
        <v>0</v>
      </c>
      <c r="G783" s="97" t="s">
        <v>132</v>
      </c>
      <c r="H783" s="97">
        <v>0</v>
      </c>
    </row>
    <row r="784" spans="1:8">
      <c r="A784" s="97" t="s">
        <v>43</v>
      </c>
      <c r="B784" s="97" t="s">
        <v>106</v>
      </c>
      <c r="C784" s="97" t="s">
        <v>13</v>
      </c>
      <c r="D784" s="97">
        <v>300</v>
      </c>
      <c r="E784" s="97">
        <v>0</v>
      </c>
      <c r="F784" s="97">
        <v>0</v>
      </c>
      <c r="G784" s="97" t="s">
        <v>147</v>
      </c>
      <c r="H784" s="97" t="s">
        <v>148</v>
      </c>
    </row>
    <row r="785" spans="1:8">
      <c r="A785" s="97" t="s">
        <v>84</v>
      </c>
      <c r="B785" s="97" t="s">
        <v>106</v>
      </c>
      <c r="C785" s="97" t="s">
        <v>13</v>
      </c>
      <c r="D785" s="97">
        <v>0</v>
      </c>
      <c r="E785" s="97">
        <v>0</v>
      </c>
      <c r="F785" s="97">
        <v>500</v>
      </c>
      <c r="G785" s="97" t="s">
        <v>24</v>
      </c>
      <c r="H785" s="97" t="s">
        <v>4</v>
      </c>
    </row>
    <row r="786" spans="1:8">
      <c r="A786" s="97" t="s">
        <v>84</v>
      </c>
      <c r="B786" s="97" t="s">
        <v>106</v>
      </c>
      <c r="C786" s="97" t="s">
        <v>13</v>
      </c>
      <c r="D786" s="97">
        <v>0</v>
      </c>
      <c r="E786" s="97">
        <v>0</v>
      </c>
      <c r="F786" s="97">
        <v>500</v>
      </c>
      <c r="G786" s="97" t="s">
        <v>25</v>
      </c>
      <c r="H786" s="97" t="s">
        <v>10</v>
      </c>
    </row>
    <row r="787" spans="1:8">
      <c r="A787" s="97" t="s">
        <v>84</v>
      </c>
      <c r="B787" s="97" t="s">
        <v>106</v>
      </c>
      <c r="C787" s="97" t="s">
        <v>13</v>
      </c>
      <c r="D787" s="97">
        <v>0</v>
      </c>
      <c r="E787" s="97">
        <v>0</v>
      </c>
      <c r="F787" s="97">
        <v>500</v>
      </c>
      <c r="G787" s="97" t="s">
        <v>26</v>
      </c>
      <c r="H787" s="97" t="s">
        <v>4</v>
      </c>
    </row>
    <row r="788" spans="1:8">
      <c r="A788" s="97" t="s">
        <v>84</v>
      </c>
      <c r="B788" s="97" t="s">
        <v>106</v>
      </c>
      <c r="C788" s="97" t="s">
        <v>13</v>
      </c>
      <c r="D788" s="97">
        <v>0</v>
      </c>
      <c r="E788" s="97">
        <v>0</v>
      </c>
      <c r="F788" s="97">
        <v>500</v>
      </c>
      <c r="G788" s="97" t="s">
        <v>27</v>
      </c>
      <c r="H788" s="97" t="s">
        <v>4</v>
      </c>
    </row>
    <row r="789" spans="1:8">
      <c r="A789" s="97" t="s">
        <v>84</v>
      </c>
      <c r="B789" s="97" t="s">
        <v>106</v>
      </c>
      <c r="C789" s="97" t="s">
        <v>13</v>
      </c>
      <c r="D789" s="97">
        <v>0</v>
      </c>
      <c r="E789" s="97">
        <v>0</v>
      </c>
      <c r="F789" s="97">
        <v>500</v>
      </c>
      <c r="G789" s="97" t="s">
        <v>28</v>
      </c>
      <c r="H789" s="97" t="s">
        <v>4</v>
      </c>
    </row>
    <row r="790" spans="1:8">
      <c r="A790" s="97" t="s">
        <v>84</v>
      </c>
      <c r="B790" s="97" t="s">
        <v>106</v>
      </c>
      <c r="C790" s="97" t="s">
        <v>13</v>
      </c>
      <c r="D790" s="97">
        <v>0</v>
      </c>
      <c r="E790" s="97">
        <v>0</v>
      </c>
      <c r="F790" s="97">
        <v>500</v>
      </c>
      <c r="G790" s="97" t="s">
        <v>29</v>
      </c>
      <c r="H790" s="97" t="s">
        <v>4</v>
      </c>
    </row>
    <row r="791" spans="1:8">
      <c r="A791" s="97" t="s">
        <v>84</v>
      </c>
      <c r="B791" s="97" t="s">
        <v>106</v>
      </c>
      <c r="C791" s="97" t="s">
        <v>13</v>
      </c>
      <c r="D791" s="97">
        <v>0</v>
      </c>
      <c r="E791" s="97">
        <v>0</v>
      </c>
      <c r="F791" s="97">
        <v>500</v>
      </c>
      <c r="G791" s="97" t="s">
        <v>30</v>
      </c>
      <c r="H791" s="97" t="s">
        <v>4</v>
      </c>
    </row>
    <row r="792" spans="1:8">
      <c r="A792" s="97" t="s">
        <v>84</v>
      </c>
      <c r="B792" s="97" t="s">
        <v>106</v>
      </c>
      <c r="C792" s="97" t="s">
        <v>13</v>
      </c>
      <c r="D792" s="97">
        <v>0</v>
      </c>
      <c r="E792" s="97">
        <v>0</v>
      </c>
      <c r="F792" s="97">
        <v>500</v>
      </c>
      <c r="G792" s="97" t="s">
        <v>31</v>
      </c>
      <c r="H792" s="97" t="s">
        <v>4</v>
      </c>
    </row>
    <row r="793" spans="1:8">
      <c r="A793" s="97" t="s">
        <v>84</v>
      </c>
      <c r="B793" s="97" t="s">
        <v>106</v>
      </c>
      <c r="C793" s="97" t="s">
        <v>13</v>
      </c>
      <c r="D793" s="97">
        <v>0</v>
      </c>
      <c r="E793" s="97">
        <v>0</v>
      </c>
      <c r="F793" s="97">
        <v>500</v>
      </c>
      <c r="G793" s="97" t="s">
        <v>32</v>
      </c>
      <c r="H793" s="97" t="s">
        <v>4</v>
      </c>
    </row>
    <row r="794" spans="1:8">
      <c r="A794" s="97" t="s">
        <v>84</v>
      </c>
      <c r="B794" s="97" t="s">
        <v>106</v>
      </c>
      <c r="C794" s="97" t="s">
        <v>13</v>
      </c>
      <c r="D794" s="97">
        <v>0</v>
      </c>
      <c r="E794" s="97">
        <v>0</v>
      </c>
      <c r="F794" s="97">
        <v>500</v>
      </c>
      <c r="G794" s="97" t="s">
        <v>33</v>
      </c>
      <c r="H794" s="97" t="s">
        <v>4</v>
      </c>
    </row>
    <row r="795" spans="1:8">
      <c r="A795" s="97" t="s">
        <v>84</v>
      </c>
      <c r="B795" s="97" t="s">
        <v>106</v>
      </c>
      <c r="C795" s="97" t="s">
        <v>13</v>
      </c>
      <c r="D795" s="97">
        <v>0</v>
      </c>
      <c r="E795" s="97">
        <v>0</v>
      </c>
      <c r="F795" s="97">
        <v>500</v>
      </c>
      <c r="G795" s="97" t="s">
        <v>34</v>
      </c>
      <c r="H795" s="97" t="s">
        <v>4</v>
      </c>
    </row>
    <row r="796" spans="1:8">
      <c r="A796" s="97" t="s">
        <v>84</v>
      </c>
      <c r="B796" s="97" t="s">
        <v>106</v>
      </c>
      <c r="C796" s="97" t="s">
        <v>13</v>
      </c>
      <c r="D796" s="97">
        <v>0</v>
      </c>
      <c r="E796" s="97">
        <v>0</v>
      </c>
      <c r="F796" s="97">
        <v>500</v>
      </c>
      <c r="G796" s="97" t="s">
        <v>129</v>
      </c>
      <c r="H796" s="97">
        <v>500</v>
      </c>
    </row>
    <row r="797" spans="1:8">
      <c r="A797" s="97" t="s">
        <v>84</v>
      </c>
      <c r="B797" s="97" t="s">
        <v>106</v>
      </c>
      <c r="C797" s="97" t="s">
        <v>13</v>
      </c>
      <c r="D797" s="97">
        <v>0</v>
      </c>
      <c r="E797" s="97">
        <v>0</v>
      </c>
      <c r="F797" s="97">
        <v>500</v>
      </c>
      <c r="G797" s="97" t="s">
        <v>132</v>
      </c>
      <c r="H797" s="97">
        <v>1</v>
      </c>
    </row>
    <row r="798" spans="1:8">
      <c r="A798" s="97" t="s">
        <v>84</v>
      </c>
      <c r="B798" s="97" t="s">
        <v>106</v>
      </c>
      <c r="C798" s="97" t="s">
        <v>13</v>
      </c>
      <c r="D798" s="97">
        <v>0</v>
      </c>
      <c r="E798" s="97">
        <v>0</v>
      </c>
      <c r="F798" s="97">
        <v>500</v>
      </c>
      <c r="G798" s="97" t="s">
        <v>147</v>
      </c>
      <c r="H798" s="97" t="s">
        <v>149</v>
      </c>
    </row>
    <row r="799" spans="1:8">
      <c r="A799" s="97" t="s">
        <v>68</v>
      </c>
      <c r="B799" s="97" t="s">
        <v>106</v>
      </c>
      <c r="C799" s="97" t="s">
        <v>13</v>
      </c>
      <c r="D799" s="97">
        <v>0</v>
      </c>
      <c r="E799" s="97">
        <v>0</v>
      </c>
      <c r="F799" s="97">
        <v>1000</v>
      </c>
      <c r="G799" s="97" t="s">
        <v>24</v>
      </c>
      <c r="H799" s="97" t="s">
        <v>4</v>
      </c>
    </row>
    <row r="800" spans="1:8">
      <c r="A800" s="97" t="s">
        <v>68</v>
      </c>
      <c r="B800" s="97" t="s">
        <v>106</v>
      </c>
      <c r="C800" s="97" t="s">
        <v>13</v>
      </c>
      <c r="D800" s="97">
        <v>0</v>
      </c>
      <c r="E800" s="97">
        <v>0</v>
      </c>
      <c r="F800" s="97">
        <v>1000</v>
      </c>
      <c r="G800" s="97" t="s">
        <v>25</v>
      </c>
      <c r="H800" s="97" t="s">
        <v>4</v>
      </c>
    </row>
    <row r="801" spans="1:8">
      <c r="A801" s="97" t="s">
        <v>68</v>
      </c>
      <c r="B801" s="97" t="s">
        <v>106</v>
      </c>
      <c r="C801" s="97" t="s">
        <v>13</v>
      </c>
      <c r="D801" s="97">
        <v>0</v>
      </c>
      <c r="E801" s="97">
        <v>0</v>
      </c>
      <c r="F801" s="97">
        <v>1000</v>
      </c>
      <c r="G801" s="97" t="s">
        <v>26</v>
      </c>
      <c r="H801" s="97" t="s">
        <v>4</v>
      </c>
    </row>
    <row r="802" spans="1:8">
      <c r="A802" s="97" t="s">
        <v>68</v>
      </c>
      <c r="B802" s="97" t="s">
        <v>106</v>
      </c>
      <c r="C802" s="97" t="s">
        <v>13</v>
      </c>
      <c r="D802" s="97">
        <v>0</v>
      </c>
      <c r="E802" s="97">
        <v>0</v>
      </c>
      <c r="F802" s="97">
        <v>1000</v>
      </c>
      <c r="G802" s="97" t="s">
        <v>27</v>
      </c>
      <c r="H802" s="97" t="s">
        <v>10</v>
      </c>
    </row>
    <row r="803" spans="1:8">
      <c r="A803" s="97" t="s">
        <v>68</v>
      </c>
      <c r="B803" s="97" t="s">
        <v>106</v>
      </c>
      <c r="C803" s="97" t="s">
        <v>13</v>
      </c>
      <c r="D803" s="97">
        <v>0</v>
      </c>
      <c r="E803" s="97">
        <v>0</v>
      </c>
      <c r="F803" s="97">
        <v>1000</v>
      </c>
      <c r="G803" s="97" t="s">
        <v>28</v>
      </c>
      <c r="H803" s="97" t="s">
        <v>4</v>
      </c>
    </row>
    <row r="804" spans="1:8">
      <c r="A804" s="97" t="s">
        <v>68</v>
      </c>
      <c r="B804" s="97" t="s">
        <v>106</v>
      </c>
      <c r="C804" s="97" t="s">
        <v>13</v>
      </c>
      <c r="D804" s="97">
        <v>0</v>
      </c>
      <c r="E804" s="97">
        <v>0</v>
      </c>
      <c r="F804" s="97">
        <v>1000</v>
      </c>
      <c r="G804" s="97" t="s">
        <v>29</v>
      </c>
      <c r="H804" s="97" t="s">
        <v>4</v>
      </c>
    </row>
    <row r="805" spans="1:8">
      <c r="A805" s="97" t="s">
        <v>68</v>
      </c>
      <c r="B805" s="97" t="s">
        <v>106</v>
      </c>
      <c r="C805" s="97" t="s">
        <v>13</v>
      </c>
      <c r="D805" s="97">
        <v>0</v>
      </c>
      <c r="E805" s="97">
        <v>0</v>
      </c>
      <c r="F805" s="97">
        <v>1000</v>
      </c>
      <c r="G805" s="97" t="s">
        <v>30</v>
      </c>
      <c r="H805" s="97" t="s">
        <v>4</v>
      </c>
    </row>
    <row r="806" spans="1:8">
      <c r="A806" s="97" t="s">
        <v>68</v>
      </c>
      <c r="B806" s="97" t="s">
        <v>106</v>
      </c>
      <c r="C806" s="97" t="s">
        <v>13</v>
      </c>
      <c r="D806" s="97">
        <v>0</v>
      </c>
      <c r="E806" s="97">
        <v>0</v>
      </c>
      <c r="F806" s="97">
        <v>1000</v>
      </c>
      <c r="G806" s="97" t="s">
        <v>31</v>
      </c>
      <c r="H806" s="97" t="s">
        <v>10</v>
      </c>
    </row>
    <row r="807" spans="1:8">
      <c r="A807" s="97" t="s">
        <v>68</v>
      </c>
      <c r="B807" s="97" t="s">
        <v>106</v>
      </c>
      <c r="C807" s="97" t="s">
        <v>13</v>
      </c>
      <c r="D807" s="97">
        <v>0</v>
      </c>
      <c r="E807" s="97">
        <v>0</v>
      </c>
      <c r="F807" s="97">
        <v>1000</v>
      </c>
      <c r="G807" s="97" t="s">
        <v>32</v>
      </c>
      <c r="H807" s="97" t="s">
        <v>4</v>
      </c>
    </row>
    <row r="808" spans="1:8">
      <c r="A808" s="97" t="s">
        <v>68</v>
      </c>
      <c r="B808" s="97" t="s">
        <v>106</v>
      </c>
      <c r="C808" s="97" t="s">
        <v>13</v>
      </c>
      <c r="D808" s="97">
        <v>0</v>
      </c>
      <c r="E808" s="97">
        <v>0</v>
      </c>
      <c r="F808" s="97">
        <v>1000</v>
      </c>
      <c r="G808" s="97" t="s">
        <v>33</v>
      </c>
      <c r="H808" s="97" t="s">
        <v>4</v>
      </c>
    </row>
    <row r="809" spans="1:8">
      <c r="A809" s="97" t="s">
        <v>68</v>
      </c>
      <c r="B809" s="97" t="s">
        <v>106</v>
      </c>
      <c r="C809" s="97" t="s">
        <v>13</v>
      </c>
      <c r="D809" s="97">
        <v>0</v>
      </c>
      <c r="E809" s="97">
        <v>0</v>
      </c>
      <c r="F809" s="97">
        <v>1000</v>
      </c>
      <c r="G809" s="97" t="s">
        <v>34</v>
      </c>
      <c r="H809" s="97" t="s">
        <v>4</v>
      </c>
    </row>
    <row r="810" spans="1:8">
      <c r="A810" s="97" t="s">
        <v>68</v>
      </c>
      <c r="B810" s="97" t="s">
        <v>106</v>
      </c>
      <c r="C810" s="97" t="s">
        <v>13</v>
      </c>
      <c r="D810" s="97">
        <v>0</v>
      </c>
      <c r="E810" s="97">
        <v>0</v>
      </c>
      <c r="F810" s="97">
        <v>1000</v>
      </c>
      <c r="G810" s="97" t="s">
        <v>129</v>
      </c>
      <c r="H810" s="97">
        <v>1000</v>
      </c>
    </row>
    <row r="811" spans="1:8">
      <c r="A811" s="97" t="s">
        <v>68</v>
      </c>
      <c r="B811" s="97" t="s">
        <v>106</v>
      </c>
      <c r="C811" s="97" t="s">
        <v>13</v>
      </c>
      <c r="D811" s="97">
        <v>0</v>
      </c>
      <c r="E811" s="97">
        <v>0</v>
      </c>
      <c r="F811" s="97">
        <v>1000</v>
      </c>
      <c r="G811" s="97" t="s">
        <v>132</v>
      </c>
      <c r="H811" s="97">
        <v>2</v>
      </c>
    </row>
    <row r="812" spans="1:8">
      <c r="A812" s="97" t="s">
        <v>68</v>
      </c>
      <c r="B812" s="97" t="s">
        <v>106</v>
      </c>
      <c r="C812" s="97" t="s">
        <v>13</v>
      </c>
      <c r="D812" s="97">
        <v>0</v>
      </c>
      <c r="E812" s="97">
        <v>0</v>
      </c>
      <c r="F812" s="97">
        <v>1000</v>
      </c>
      <c r="G812" s="97" t="s">
        <v>147</v>
      </c>
      <c r="H812" s="97" t="s">
        <v>149</v>
      </c>
    </row>
    <row r="813" spans="1:8">
      <c r="A813" s="97" t="s">
        <v>47</v>
      </c>
      <c r="B813" s="97" t="s">
        <v>107</v>
      </c>
      <c r="C813" s="97" t="s">
        <v>16</v>
      </c>
      <c r="D813" s="97">
        <v>0</v>
      </c>
      <c r="E813" s="97">
        <v>0</v>
      </c>
      <c r="F813" s="97">
        <v>0</v>
      </c>
      <c r="G813" s="97" t="s">
        <v>24</v>
      </c>
      <c r="H813" s="97" t="s">
        <v>4</v>
      </c>
    </row>
    <row r="814" spans="1:8">
      <c r="A814" s="97" t="s">
        <v>47</v>
      </c>
      <c r="B814" s="97" t="s">
        <v>107</v>
      </c>
      <c r="C814" s="97" t="s">
        <v>16</v>
      </c>
      <c r="D814" s="97">
        <v>0</v>
      </c>
      <c r="E814" s="97">
        <v>0</v>
      </c>
      <c r="F814" s="97">
        <v>0</v>
      </c>
      <c r="G814" s="97" t="s">
        <v>25</v>
      </c>
      <c r="H814" s="97" t="s">
        <v>4</v>
      </c>
    </row>
    <row r="815" spans="1:8">
      <c r="A815" s="97" t="s">
        <v>47</v>
      </c>
      <c r="B815" s="97" t="s">
        <v>107</v>
      </c>
      <c r="C815" s="97" t="s">
        <v>16</v>
      </c>
      <c r="D815" s="97">
        <v>0</v>
      </c>
      <c r="E815" s="97">
        <v>0</v>
      </c>
      <c r="F815" s="97">
        <v>0</v>
      </c>
      <c r="G815" s="97" t="s">
        <v>26</v>
      </c>
      <c r="H815" s="97" t="s">
        <v>4</v>
      </c>
    </row>
    <row r="816" spans="1:8">
      <c r="A816" s="97" t="s">
        <v>47</v>
      </c>
      <c r="B816" s="97" t="s">
        <v>107</v>
      </c>
      <c r="C816" s="97" t="s">
        <v>16</v>
      </c>
      <c r="D816" s="97">
        <v>0</v>
      </c>
      <c r="E816" s="97">
        <v>0</v>
      </c>
      <c r="F816" s="97">
        <v>0</v>
      </c>
      <c r="G816" s="97" t="s">
        <v>27</v>
      </c>
      <c r="H816" s="97" t="s">
        <v>4</v>
      </c>
    </row>
    <row r="817" spans="1:8">
      <c r="A817" s="97" t="s">
        <v>47</v>
      </c>
      <c r="B817" s="97" t="s">
        <v>107</v>
      </c>
      <c r="C817" s="97" t="s">
        <v>16</v>
      </c>
      <c r="D817" s="97">
        <v>0</v>
      </c>
      <c r="E817" s="97">
        <v>0</v>
      </c>
      <c r="F817" s="97">
        <v>0</v>
      </c>
      <c r="G817" s="97" t="s">
        <v>28</v>
      </c>
      <c r="H817" s="97" t="s">
        <v>4</v>
      </c>
    </row>
    <row r="818" spans="1:8">
      <c r="A818" s="97" t="s">
        <v>47</v>
      </c>
      <c r="B818" s="97" t="s">
        <v>107</v>
      </c>
      <c r="C818" s="97" t="s">
        <v>16</v>
      </c>
      <c r="D818" s="97">
        <v>0</v>
      </c>
      <c r="E818" s="97">
        <v>0</v>
      </c>
      <c r="F818" s="97">
        <v>0</v>
      </c>
      <c r="G818" s="97" t="s">
        <v>29</v>
      </c>
      <c r="H818" s="97" t="s">
        <v>4</v>
      </c>
    </row>
    <row r="819" spans="1:8">
      <c r="A819" s="97" t="s">
        <v>47</v>
      </c>
      <c r="B819" s="97" t="s">
        <v>107</v>
      </c>
      <c r="C819" s="97" t="s">
        <v>16</v>
      </c>
      <c r="D819" s="97">
        <v>0</v>
      </c>
      <c r="E819" s="97">
        <v>0</v>
      </c>
      <c r="F819" s="97">
        <v>0</v>
      </c>
      <c r="G819" s="97" t="s">
        <v>30</v>
      </c>
      <c r="H819" s="97" t="s">
        <v>4</v>
      </c>
    </row>
    <row r="820" spans="1:8">
      <c r="A820" s="97" t="s">
        <v>47</v>
      </c>
      <c r="B820" s="97" t="s">
        <v>107</v>
      </c>
      <c r="C820" s="97" t="s">
        <v>16</v>
      </c>
      <c r="D820" s="97">
        <v>0</v>
      </c>
      <c r="E820" s="97">
        <v>0</v>
      </c>
      <c r="F820" s="97">
        <v>0</v>
      </c>
      <c r="G820" s="97" t="s">
        <v>31</v>
      </c>
      <c r="H820" s="97" t="s">
        <v>8</v>
      </c>
    </row>
    <row r="821" spans="1:8">
      <c r="A821" s="97" t="s">
        <v>47</v>
      </c>
      <c r="B821" s="97" t="s">
        <v>107</v>
      </c>
      <c r="C821" s="97" t="s">
        <v>16</v>
      </c>
      <c r="D821" s="97">
        <v>0</v>
      </c>
      <c r="E821" s="97">
        <v>0</v>
      </c>
      <c r="F821" s="97">
        <v>0</v>
      </c>
      <c r="G821" s="97" t="s">
        <v>32</v>
      </c>
      <c r="H821" s="97" t="s">
        <v>4</v>
      </c>
    </row>
    <row r="822" spans="1:8">
      <c r="A822" s="97" t="s">
        <v>47</v>
      </c>
      <c r="B822" s="97" t="s">
        <v>107</v>
      </c>
      <c r="C822" s="97" t="s">
        <v>16</v>
      </c>
      <c r="D822" s="97">
        <v>0</v>
      </c>
      <c r="E822" s="97">
        <v>0</v>
      </c>
      <c r="F822" s="97">
        <v>0</v>
      </c>
      <c r="G822" s="97" t="s">
        <v>33</v>
      </c>
      <c r="H822" s="97" t="s">
        <v>4</v>
      </c>
    </row>
    <row r="823" spans="1:8">
      <c r="A823" s="97" t="s">
        <v>47</v>
      </c>
      <c r="B823" s="97" t="s">
        <v>107</v>
      </c>
      <c r="C823" s="97" t="s">
        <v>16</v>
      </c>
      <c r="D823" s="97">
        <v>0</v>
      </c>
      <c r="E823" s="97">
        <v>0</v>
      </c>
      <c r="F823" s="97">
        <v>0</v>
      </c>
      <c r="G823" s="97" t="s">
        <v>34</v>
      </c>
      <c r="H823" s="97" t="s">
        <v>4</v>
      </c>
    </row>
    <row r="824" spans="1:8">
      <c r="A824" s="97" t="s">
        <v>47</v>
      </c>
      <c r="B824" s="97" t="s">
        <v>107</v>
      </c>
      <c r="C824" s="97" t="s">
        <v>16</v>
      </c>
      <c r="D824" s="97">
        <v>0</v>
      </c>
      <c r="E824" s="97">
        <v>0</v>
      </c>
      <c r="F824" s="97">
        <v>0</v>
      </c>
      <c r="G824" s="97" t="s">
        <v>129</v>
      </c>
      <c r="H824" s="97">
        <v>0</v>
      </c>
    </row>
    <row r="825" spans="1:8">
      <c r="A825" s="97" t="s">
        <v>47</v>
      </c>
      <c r="B825" s="97" t="s">
        <v>107</v>
      </c>
      <c r="C825" s="97" t="s">
        <v>16</v>
      </c>
      <c r="D825" s="97">
        <v>0</v>
      </c>
      <c r="E825" s="97">
        <v>0</v>
      </c>
      <c r="F825" s="97">
        <v>0</v>
      </c>
      <c r="G825" s="97" t="s">
        <v>132</v>
      </c>
      <c r="H825" s="97">
        <v>0</v>
      </c>
    </row>
    <row r="826" spans="1:8">
      <c r="A826" s="97" t="s">
        <v>47</v>
      </c>
      <c r="B826" s="97" t="s">
        <v>107</v>
      </c>
      <c r="C826" s="97" t="s">
        <v>16</v>
      </c>
      <c r="D826" s="97">
        <v>0</v>
      </c>
      <c r="E826" s="97">
        <v>0</v>
      </c>
      <c r="F826" s="97">
        <v>0</v>
      </c>
      <c r="G826" s="97" t="s">
        <v>147</v>
      </c>
      <c r="H826" s="97" t="s">
        <v>148</v>
      </c>
    </row>
    <row r="827" spans="1:8">
      <c r="A827" s="97" t="s">
        <v>99</v>
      </c>
      <c r="B827" s="97" t="s">
        <v>106</v>
      </c>
      <c r="C827" s="97" t="s">
        <v>13</v>
      </c>
      <c r="D827" s="97">
        <v>0</v>
      </c>
      <c r="E827" s="97">
        <v>0</v>
      </c>
      <c r="F827" s="97">
        <v>500</v>
      </c>
      <c r="G827" s="97" t="s">
        <v>24</v>
      </c>
      <c r="H827" s="97" t="s">
        <v>4</v>
      </c>
    </row>
    <row r="828" spans="1:8">
      <c r="A828" s="97" t="s">
        <v>99</v>
      </c>
      <c r="B828" s="97" t="s">
        <v>106</v>
      </c>
      <c r="C828" s="97" t="s">
        <v>13</v>
      </c>
      <c r="D828" s="97">
        <v>0</v>
      </c>
      <c r="E828" s="97">
        <v>0</v>
      </c>
      <c r="F828" s="97">
        <v>500</v>
      </c>
      <c r="G828" s="97" t="s">
        <v>25</v>
      </c>
      <c r="H828" s="97" t="s">
        <v>10</v>
      </c>
    </row>
    <row r="829" spans="1:8">
      <c r="A829" s="97" t="s">
        <v>99</v>
      </c>
      <c r="B829" s="97" t="s">
        <v>106</v>
      </c>
      <c r="C829" s="97" t="s">
        <v>13</v>
      </c>
      <c r="D829" s="97">
        <v>0</v>
      </c>
      <c r="E829" s="97">
        <v>0</v>
      </c>
      <c r="F829" s="97">
        <v>500</v>
      </c>
      <c r="G829" s="97" t="s">
        <v>26</v>
      </c>
      <c r="H829" s="97" t="s">
        <v>4</v>
      </c>
    </row>
    <row r="830" spans="1:8">
      <c r="A830" s="97" t="s">
        <v>99</v>
      </c>
      <c r="B830" s="97" t="s">
        <v>106</v>
      </c>
      <c r="C830" s="97" t="s">
        <v>13</v>
      </c>
      <c r="D830" s="97">
        <v>0</v>
      </c>
      <c r="E830" s="97">
        <v>0</v>
      </c>
      <c r="F830" s="97">
        <v>500</v>
      </c>
      <c r="G830" s="97" t="s">
        <v>27</v>
      </c>
      <c r="H830" s="97" t="s">
        <v>4</v>
      </c>
    </row>
    <row r="831" spans="1:8">
      <c r="A831" s="97" t="s">
        <v>99</v>
      </c>
      <c r="B831" s="97" t="s">
        <v>106</v>
      </c>
      <c r="C831" s="97" t="s">
        <v>13</v>
      </c>
      <c r="D831" s="97">
        <v>0</v>
      </c>
      <c r="E831" s="97">
        <v>0</v>
      </c>
      <c r="F831" s="97">
        <v>500</v>
      </c>
      <c r="G831" s="97" t="s">
        <v>28</v>
      </c>
      <c r="H831" s="97" t="s">
        <v>4</v>
      </c>
    </row>
    <row r="832" spans="1:8">
      <c r="A832" s="97" t="s">
        <v>99</v>
      </c>
      <c r="B832" s="97" t="s">
        <v>106</v>
      </c>
      <c r="C832" s="97" t="s">
        <v>13</v>
      </c>
      <c r="D832" s="97">
        <v>0</v>
      </c>
      <c r="E832" s="97">
        <v>0</v>
      </c>
      <c r="F832" s="97">
        <v>500</v>
      </c>
      <c r="G832" s="97" t="s">
        <v>29</v>
      </c>
      <c r="H832" s="97" t="s">
        <v>4</v>
      </c>
    </row>
    <row r="833" spans="1:8">
      <c r="A833" s="97" t="s">
        <v>99</v>
      </c>
      <c r="B833" s="97" t="s">
        <v>106</v>
      </c>
      <c r="C833" s="97" t="s">
        <v>13</v>
      </c>
      <c r="D833" s="97">
        <v>0</v>
      </c>
      <c r="E833" s="97">
        <v>0</v>
      </c>
      <c r="F833" s="97">
        <v>500</v>
      </c>
      <c r="G833" s="97" t="s">
        <v>30</v>
      </c>
      <c r="H833" s="97" t="s">
        <v>4</v>
      </c>
    </row>
    <row r="834" spans="1:8">
      <c r="A834" s="97" t="s">
        <v>99</v>
      </c>
      <c r="B834" s="97" t="s">
        <v>106</v>
      </c>
      <c r="C834" s="97" t="s">
        <v>13</v>
      </c>
      <c r="D834" s="97">
        <v>0</v>
      </c>
      <c r="E834" s="97">
        <v>0</v>
      </c>
      <c r="F834" s="97">
        <v>500</v>
      </c>
      <c r="G834" s="97" t="s">
        <v>31</v>
      </c>
      <c r="H834" s="97" t="s">
        <v>8</v>
      </c>
    </row>
    <row r="835" spans="1:8">
      <c r="A835" s="97" t="s">
        <v>99</v>
      </c>
      <c r="B835" s="97" t="s">
        <v>106</v>
      </c>
      <c r="C835" s="97" t="s">
        <v>13</v>
      </c>
      <c r="D835" s="97">
        <v>0</v>
      </c>
      <c r="E835" s="97">
        <v>0</v>
      </c>
      <c r="F835" s="97">
        <v>500</v>
      </c>
      <c r="G835" s="97" t="s">
        <v>32</v>
      </c>
      <c r="H835" s="97" t="s">
        <v>8</v>
      </c>
    </row>
    <row r="836" spans="1:8">
      <c r="A836" s="97" t="s">
        <v>99</v>
      </c>
      <c r="B836" s="97" t="s">
        <v>106</v>
      </c>
      <c r="C836" s="97" t="s">
        <v>13</v>
      </c>
      <c r="D836" s="97">
        <v>0</v>
      </c>
      <c r="E836" s="97">
        <v>0</v>
      </c>
      <c r="F836" s="97">
        <v>500</v>
      </c>
      <c r="G836" s="97" t="s">
        <v>33</v>
      </c>
      <c r="H836" s="97" t="s">
        <v>8</v>
      </c>
    </row>
    <row r="837" spans="1:8">
      <c r="A837" s="97" t="s">
        <v>99</v>
      </c>
      <c r="B837" s="97" t="s">
        <v>106</v>
      </c>
      <c r="C837" s="97" t="s">
        <v>13</v>
      </c>
      <c r="D837" s="97">
        <v>0</v>
      </c>
      <c r="E837" s="97">
        <v>0</v>
      </c>
      <c r="F837" s="97">
        <v>500</v>
      </c>
      <c r="G837" s="97" t="s">
        <v>34</v>
      </c>
      <c r="H837" s="97" t="s">
        <v>8</v>
      </c>
    </row>
    <row r="838" spans="1:8">
      <c r="A838" s="97" t="s">
        <v>99</v>
      </c>
      <c r="B838" s="97" t="s">
        <v>106</v>
      </c>
      <c r="C838" s="97" t="s">
        <v>13</v>
      </c>
      <c r="D838" s="97">
        <v>0</v>
      </c>
      <c r="E838" s="97">
        <v>0</v>
      </c>
      <c r="F838" s="97">
        <v>500</v>
      </c>
      <c r="G838" s="97" t="s">
        <v>129</v>
      </c>
      <c r="H838" s="97">
        <v>500</v>
      </c>
    </row>
    <row r="839" spans="1:8">
      <c r="A839" s="97" t="s">
        <v>99</v>
      </c>
      <c r="B839" s="97" t="s">
        <v>106</v>
      </c>
      <c r="C839" s="97" t="s">
        <v>13</v>
      </c>
      <c r="D839" s="97">
        <v>0</v>
      </c>
      <c r="E839" s="97">
        <v>0</v>
      </c>
      <c r="F839" s="97">
        <v>500</v>
      </c>
      <c r="G839" s="97" t="s">
        <v>132</v>
      </c>
      <c r="H839" s="97">
        <v>1</v>
      </c>
    </row>
    <row r="840" spans="1:8">
      <c r="A840" s="97" t="s">
        <v>99</v>
      </c>
      <c r="B840" s="97" t="s">
        <v>106</v>
      </c>
      <c r="C840" s="97" t="s">
        <v>13</v>
      </c>
      <c r="D840" s="97">
        <v>0</v>
      </c>
      <c r="E840" s="97">
        <v>0</v>
      </c>
      <c r="F840" s="97">
        <v>500</v>
      </c>
      <c r="G840" s="97" t="s">
        <v>147</v>
      </c>
      <c r="H840" s="97" t="s">
        <v>149</v>
      </c>
    </row>
    <row r="841" spans="1:8">
      <c r="A841" s="97" t="s">
        <v>93</v>
      </c>
      <c r="B841" s="97" t="s">
        <v>107</v>
      </c>
      <c r="C841" s="97" t="s">
        <v>12</v>
      </c>
      <c r="D841" s="97">
        <v>600</v>
      </c>
      <c r="E841" s="97">
        <v>0</v>
      </c>
      <c r="F841" s="97">
        <v>500</v>
      </c>
      <c r="G841" s="97" t="s">
        <v>24</v>
      </c>
      <c r="H841" s="97" t="s">
        <v>4</v>
      </c>
    </row>
    <row r="842" spans="1:8">
      <c r="A842" s="97" t="s">
        <v>93</v>
      </c>
      <c r="B842" s="97" t="s">
        <v>107</v>
      </c>
      <c r="C842" s="97" t="s">
        <v>12</v>
      </c>
      <c r="D842" s="97">
        <v>600</v>
      </c>
      <c r="E842" s="97">
        <v>0</v>
      </c>
      <c r="F842" s="97">
        <v>500</v>
      </c>
      <c r="G842" s="97" t="s">
        <v>25</v>
      </c>
      <c r="H842" s="97" t="s">
        <v>4</v>
      </c>
    </row>
    <row r="843" spans="1:8">
      <c r="A843" s="97" t="s">
        <v>93</v>
      </c>
      <c r="B843" s="97" t="s">
        <v>107</v>
      </c>
      <c r="C843" s="97" t="s">
        <v>12</v>
      </c>
      <c r="D843" s="97">
        <v>600</v>
      </c>
      <c r="E843" s="97">
        <v>0</v>
      </c>
      <c r="F843" s="97">
        <v>500</v>
      </c>
      <c r="G843" s="97" t="s">
        <v>26</v>
      </c>
      <c r="H843" s="97" t="s">
        <v>4</v>
      </c>
    </row>
    <row r="844" spans="1:8">
      <c r="A844" s="97" t="s">
        <v>93</v>
      </c>
      <c r="B844" s="97" t="s">
        <v>107</v>
      </c>
      <c r="C844" s="97" t="s">
        <v>12</v>
      </c>
      <c r="D844" s="97">
        <v>600</v>
      </c>
      <c r="E844" s="97">
        <v>0</v>
      </c>
      <c r="F844" s="97">
        <v>500</v>
      </c>
      <c r="G844" s="97" t="s">
        <v>27</v>
      </c>
      <c r="H844" s="97" t="s">
        <v>4</v>
      </c>
    </row>
    <row r="845" spans="1:8">
      <c r="A845" s="97" t="s">
        <v>93</v>
      </c>
      <c r="B845" s="97" t="s">
        <v>107</v>
      </c>
      <c r="C845" s="97" t="s">
        <v>12</v>
      </c>
      <c r="D845" s="97">
        <v>600</v>
      </c>
      <c r="E845" s="97">
        <v>0</v>
      </c>
      <c r="F845" s="97">
        <v>500</v>
      </c>
      <c r="G845" s="97" t="s">
        <v>28</v>
      </c>
      <c r="H845" s="97" t="s">
        <v>4</v>
      </c>
    </row>
    <row r="846" spans="1:8">
      <c r="A846" s="97" t="s">
        <v>93</v>
      </c>
      <c r="B846" s="97" t="s">
        <v>107</v>
      </c>
      <c r="C846" s="97" t="s">
        <v>12</v>
      </c>
      <c r="D846" s="97">
        <v>600</v>
      </c>
      <c r="E846" s="97">
        <v>0</v>
      </c>
      <c r="F846" s="97">
        <v>500</v>
      </c>
      <c r="G846" s="97" t="s">
        <v>29</v>
      </c>
      <c r="H846" s="97" t="s">
        <v>4</v>
      </c>
    </row>
    <row r="847" spans="1:8">
      <c r="A847" s="97" t="s">
        <v>93</v>
      </c>
      <c r="B847" s="97" t="s">
        <v>107</v>
      </c>
      <c r="C847" s="97" t="s">
        <v>12</v>
      </c>
      <c r="D847" s="97">
        <v>600</v>
      </c>
      <c r="E847" s="97">
        <v>0</v>
      </c>
      <c r="F847" s="97">
        <v>500</v>
      </c>
      <c r="G847" s="97" t="s">
        <v>30</v>
      </c>
      <c r="H847" s="97" t="s">
        <v>4</v>
      </c>
    </row>
    <row r="848" spans="1:8">
      <c r="A848" s="97" t="s">
        <v>93</v>
      </c>
      <c r="B848" s="97" t="s">
        <v>107</v>
      </c>
      <c r="C848" s="97" t="s">
        <v>12</v>
      </c>
      <c r="D848" s="97">
        <v>600</v>
      </c>
      <c r="E848" s="97">
        <v>0</v>
      </c>
      <c r="F848" s="97">
        <v>500</v>
      </c>
      <c r="G848" s="97" t="s">
        <v>31</v>
      </c>
      <c r="H848" s="97" t="s">
        <v>10</v>
      </c>
    </row>
    <row r="849" spans="1:8">
      <c r="A849" s="97" t="s">
        <v>93</v>
      </c>
      <c r="B849" s="97" t="s">
        <v>107</v>
      </c>
      <c r="C849" s="97" t="s">
        <v>12</v>
      </c>
      <c r="D849" s="97">
        <v>600</v>
      </c>
      <c r="E849" s="97">
        <v>0</v>
      </c>
      <c r="F849" s="97">
        <v>500</v>
      </c>
      <c r="G849" s="97" t="s">
        <v>32</v>
      </c>
      <c r="H849" s="97" t="s">
        <v>6</v>
      </c>
    </row>
    <row r="850" spans="1:8">
      <c r="A850" s="97" t="s">
        <v>93</v>
      </c>
      <c r="B850" s="97" t="s">
        <v>107</v>
      </c>
      <c r="C850" s="97" t="s">
        <v>12</v>
      </c>
      <c r="D850" s="97">
        <v>600</v>
      </c>
      <c r="E850" s="97">
        <v>0</v>
      </c>
      <c r="F850" s="97">
        <v>500</v>
      </c>
      <c r="G850" s="97" t="s">
        <v>33</v>
      </c>
      <c r="H850" s="97" t="s">
        <v>4</v>
      </c>
    </row>
    <row r="851" spans="1:8">
      <c r="A851" s="97" t="s">
        <v>93</v>
      </c>
      <c r="B851" s="97" t="s">
        <v>107</v>
      </c>
      <c r="C851" s="97" t="s">
        <v>12</v>
      </c>
      <c r="D851" s="97">
        <v>600</v>
      </c>
      <c r="E851" s="97">
        <v>0</v>
      </c>
      <c r="F851" s="97">
        <v>500</v>
      </c>
      <c r="G851" s="97" t="s">
        <v>34</v>
      </c>
      <c r="H851" s="97" t="s">
        <v>6</v>
      </c>
    </row>
    <row r="852" spans="1:8">
      <c r="A852" s="97" t="s">
        <v>93</v>
      </c>
      <c r="B852" s="97" t="s">
        <v>107</v>
      </c>
      <c r="C852" s="97" t="s">
        <v>12</v>
      </c>
      <c r="D852" s="97">
        <v>600</v>
      </c>
      <c r="E852" s="97">
        <v>0</v>
      </c>
      <c r="F852" s="97">
        <v>500</v>
      </c>
      <c r="G852" s="97" t="s">
        <v>129</v>
      </c>
      <c r="H852" s="97">
        <v>1100</v>
      </c>
    </row>
    <row r="853" spans="1:8">
      <c r="A853" s="97" t="s">
        <v>93</v>
      </c>
      <c r="B853" s="97" t="s">
        <v>107</v>
      </c>
      <c r="C853" s="97" t="s">
        <v>12</v>
      </c>
      <c r="D853" s="97">
        <v>600</v>
      </c>
      <c r="E853" s="97">
        <v>0</v>
      </c>
      <c r="F853" s="97">
        <v>500</v>
      </c>
      <c r="G853" s="97" t="s">
        <v>132</v>
      </c>
      <c r="H853" s="97">
        <v>1</v>
      </c>
    </row>
    <row r="854" spans="1:8">
      <c r="A854" s="97" t="s">
        <v>93</v>
      </c>
      <c r="B854" s="97" t="s">
        <v>107</v>
      </c>
      <c r="C854" s="97" t="s">
        <v>12</v>
      </c>
      <c r="D854" s="97">
        <v>600</v>
      </c>
      <c r="E854" s="97">
        <v>0</v>
      </c>
      <c r="F854" s="97">
        <v>500</v>
      </c>
      <c r="G854" s="97" t="s">
        <v>147</v>
      </c>
      <c r="H854" s="97" t="s">
        <v>149</v>
      </c>
    </row>
    <row r="855" spans="1:8">
      <c r="A855" s="97" t="s">
        <v>95</v>
      </c>
      <c r="B855" s="97" t="s">
        <v>106</v>
      </c>
      <c r="C855" s="97" t="s">
        <v>12</v>
      </c>
      <c r="D855" s="97">
        <v>300</v>
      </c>
      <c r="E855" s="97">
        <v>0</v>
      </c>
      <c r="F855" s="97">
        <v>500</v>
      </c>
      <c r="G855" s="97" t="s">
        <v>24</v>
      </c>
      <c r="H855" s="97" t="s">
        <v>4</v>
      </c>
    </row>
    <row r="856" spans="1:8">
      <c r="A856" s="97" t="s">
        <v>95</v>
      </c>
      <c r="B856" s="97" t="s">
        <v>106</v>
      </c>
      <c r="C856" s="97" t="s">
        <v>12</v>
      </c>
      <c r="D856" s="97">
        <v>300</v>
      </c>
      <c r="E856" s="97">
        <v>0</v>
      </c>
      <c r="F856" s="97">
        <v>500</v>
      </c>
      <c r="G856" s="97" t="s">
        <v>25</v>
      </c>
      <c r="H856" s="97" t="s">
        <v>4</v>
      </c>
    </row>
    <row r="857" spans="1:8">
      <c r="A857" s="97" t="s">
        <v>95</v>
      </c>
      <c r="B857" s="97" t="s">
        <v>106</v>
      </c>
      <c r="C857" s="97" t="s">
        <v>12</v>
      </c>
      <c r="D857" s="97">
        <v>300</v>
      </c>
      <c r="E857" s="97">
        <v>0</v>
      </c>
      <c r="F857" s="97">
        <v>500</v>
      </c>
      <c r="G857" s="97" t="s">
        <v>26</v>
      </c>
      <c r="H857" s="97" t="s">
        <v>4</v>
      </c>
    </row>
    <row r="858" spans="1:8">
      <c r="A858" s="97" t="s">
        <v>95</v>
      </c>
      <c r="B858" s="97" t="s">
        <v>106</v>
      </c>
      <c r="C858" s="97" t="s">
        <v>12</v>
      </c>
      <c r="D858" s="97">
        <v>300</v>
      </c>
      <c r="E858" s="97">
        <v>0</v>
      </c>
      <c r="F858" s="97">
        <v>500</v>
      </c>
      <c r="G858" s="97" t="s">
        <v>27</v>
      </c>
      <c r="H858" s="97" t="s">
        <v>4</v>
      </c>
    </row>
    <row r="859" spans="1:8">
      <c r="A859" s="97" t="s">
        <v>95</v>
      </c>
      <c r="B859" s="97" t="s">
        <v>106</v>
      </c>
      <c r="C859" s="97" t="s">
        <v>12</v>
      </c>
      <c r="D859" s="97">
        <v>300</v>
      </c>
      <c r="E859" s="97">
        <v>0</v>
      </c>
      <c r="F859" s="97">
        <v>500</v>
      </c>
      <c r="G859" s="97" t="s">
        <v>28</v>
      </c>
      <c r="H859" s="97" t="s">
        <v>6</v>
      </c>
    </row>
    <row r="860" spans="1:8">
      <c r="A860" s="97" t="s">
        <v>95</v>
      </c>
      <c r="B860" s="97" t="s">
        <v>106</v>
      </c>
      <c r="C860" s="97" t="s">
        <v>12</v>
      </c>
      <c r="D860" s="97">
        <v>300</v>
      </c>
      <c r="E860" s="97">
        <v>0</v>
      </c>
      <c r="F860" s="97">
        <v>500</v>
      </c>
      <c r="G860" s="97" t="s">
        <v>29</v>
      </c>
      <c r="H860" s="97" t="s">
        <v>10</v>
      </c>
    </row>
    <row r="861" spans="1:8">
      <c r="A861" s="97" t="s">
        <v>95</v>
      </c>
      <c r="B861" s="97" t="s">
        <v>106</v>
      </c>
      <c r="C861" s="97" t="s">
        <v>12</v>
      </c>
      <c r="D861" s="97">
        <v>300</v>
      </c>
      <c r="E861" s="97">
        <v>0</v>
      </c>
      <c r="F861" s="97">
        <v>500</v>
      </c>
      <c r="G861" s="97" t="s">
        <v>30</v>
      </c>
      <c r="H861" s="97" t="s">
        <v>4</v>
      </c>
    </row>
    <row r="862" spans="1:8">
      <c r="A862" s="97" t="s">
        <v>95</v>
      </c>
      <c r="B862" s="97" t="s">
        <v>106</v>
      </c>
      <c r="C862" s="97" t="s">
        <v>12</v>
      </c>
      <c r="D862" s="97">
        <v>300</v>
      </c>
      <c r="E862" s="97">
        <v>0</v>
      </c>
      <c r="F862" s="97">
        <v>500</v>
      </c>
      <c r="G862" s="97" t="s">
        <v>31</v>
      </c>
      <c r="H862" s="97" t="s">
        <v>4</v>
      </c>
    </row>
    <row r="863" spans="1:8">
      <c r="A863" s="97" t="s">
        <v>95</v>
      </c>
      <c r="B863" s="97" t="s">
        <v>106</v>
      </c>
      <c r="C863" s="97" t="s">
        <v>12</v>
      </c>
      <c r="D863" s="97">
        <v>300</v>
      </c>
      <c r="E863" s="97">
        <v>0</v>
      </c>
      <c r="F863" s="97">
        <v>500</v>
      </c>
      <c r="G863" s="97" t="s">
        <v>32</v>
      </c>
      <c r="H863" s="97" t="s">
        <v>4</v>
      </c>
    </row>
    <row r="864" spans="1:8">
      <c r="A864" s="97" t="s">
        <v>95</v>
      </c>
      <c r="B864" s="97" t="s">
        <v>106</v>
      </c>
      <c r="C864" s="97" t="s">
        <v>12</v>
      </c>
      <c r="D864" s="97">
        <v>300</v>
      </c>
      <c r="E864" s="97">
        <v>0</v>
      </c>
      <c r="F864" s="97">
        <v>500</v>
      </c>
      <c r="G864" s="97" t="s">
        <v>33</v>
      </c>
      <c r="H864" s="97" t="s">
        <v>4</v>
      </c>
    </row>
    <row r="865" spans="1:8">
      <c r="A865" s="97" t="s">
        <v>95</v>
      </c>
      <c r="B865" s="97" t="s">
        <v>106</v>
      </c>
      <c r="C865" s="97" t="s">
        <v>12</v>
      </c>
      <c r="D865" s="97">
        <v>300</v>
      </c>
      <c r="E865" s="97">
        <v>0</v>
      </c>
      <c r="F865" s="97">
        <v>500</v>
      </c>
      <c r="G865" s="97" t="s">
        <v>34</v>
      </c>
      <c r="H865" s="97" t="s">
        <v>4</v>
      </c>
    </row>
    <row r="866" spans="1:8">
      <c r="A866" s="97" t="s">
        <v>95</v>
      </c>
      <c r="B866" s="97" t="s">
        <v>106</v>
      </c>
      <c r="C866" s="97" t="s">
        <v>12</v>
      </c>
      <c r="D866" s="97">
        <v>300</v>
      </c>
      <c r="E866" s="97">
        <v>0</v>
      </c>
      <c r="F866" s="97">
        <v>500</v>
      </c>
      <c r="G866" s="97" t="s">
        <v>129</v>
      </c>
      <c r="H866" s="97">
        <v>800</v>
      </c>
    </row>
    <row r="867" spans="1:8">
      <c r="A867" s="97" t="s">
        <v>95</v>
      </c>
      <c r="B867" s="97" t="s">
        <v>106</v>
      </c>
      <c r="C867" s="97" t="s">
        <v>12</v>
      </c>
      <c r="D867" s="97">
        <v>300</v>
      </c>
      <c r="E867" s="97">
        <v>0</v>
      </c>
      <c r="F867" s="97">
        <v>500</v>
      </c>
      <c r="G867" s="97" t="s">
        <v>132</v>
      </c>
      <c r="H867" s="97">
        <v>1</v>
      </c>
    </row>
    <row r="868" spans="1:8">
      <c r="A868" s="97" t="s">
        <v>95</v>
      </c>
      <c r="B868" s="97" t="s">
        <v>106</v>
      </c>
      <c r="C868" s="97" t="s">
        <v>12</v>
      </c>
      <c r="D868" s="97">
        <v>300</v>
      </c>
      <c r="E868" s="97">
        <v>0</v>
      </c>
      <c r="F868" s="97">
        <v>500</v>
      </c>
      <c r="G868" s="97" t="s">
        <v>147</v>
      </c>
      <c r="H868" s="97" t="s">
        <v>149</v>
      </c>
    </row>
    <row r="869" spans="1:8">
      <c r="A869" s="97" t="s">
        <v>63</v>
      </c>
      <c r="B869" s="97" t="s">
        <v>107</v>
      </c>
      <c r="C869" s="97" t="s">
        <v>12</v>
      </c>
      <c r="D869" s="97">
        <v>300</v>
      </c>
      <c r="E869" s="97">
        <v>0</v>
      </c>
      <c r="F869" s="97">
        <v>500</v>
      </c>
      <c r="G869" s="97" t="s">
        <v>24</v>
      </c>
      <c r="H869" s="97" t="s">
        <v>4</v>
      </c>
    </row>
    <row r="870" spans="1:8">
      <c r="A870" s="97" t="s">
        <v>63</v>
      </c>
      <c r="B870" s="97" t="s">
        <v>107</v>
      </c>
      <c r="C870" s="97" t="s">
        <v>12</v>
      </c>
      <c r="D870" s="97">
        <v>300</v>
      </c>
      <c r="E870" s="97">
        <v>0</v>
      </c>
      <c r="F870" s="97">
        <v>500</v>
      </c>
      <c r="G870" s="97" t="s">
        <v>25</v>
      </c>
      <c r="H870" s="97" t="s">
        <v>4</v>
      </c>
    </row>
    <row r="871" spans="1:8">
      <c r="A871" s="97" t="s">
        <v>63</v>
      </c>
      <c r="B871" s="97" t="s">
        <v>107</v>
      </c>
      <c r="C871" s="97" t="s">
        <v>12</v>
      </c>
      <c r="D871" s="97">
        <v>300</v>
      </c>
      <c r="E871" s="97">
        <v>0</v>
      </c>
      <c r="F871" s="97">
        <v>500</v>
      </c>
      <c r="G871" s="97" t="s">
        <v>26</v>
      </c>
      <c r="H871" s="97" t="s">
        <v>4</v>
      </c>
    </row>
    <row r="872" spans="1:8">
      <c r="A872" s="97" t="s">
        <v>63</v>
      </c>
      <c r="B872" s="97" t="s">
        <v>107</v>
      </c>
      <c r="C872" s="97" t="s">
        <v>12</v>
      </c>
      <c r="D872" s="97">
        <v>300</v>
      </c>
      <c r="E872" s="97">
        <v>0</v>
      </c>
      <c r="F872" s="97">
        <v>500</v>
      </c>
      <c r="G872" s="97" t="s">
        <v>27</v>
      </c>
      <c r="H872" s="97" t="s">
        <v>6</v>
      </c>
    </row>
    <row r="873" spans="1:8">
      <c r="A873" s="97" t="s">
        <v>63</v>
      </c>
      <c r="B873" s="97" t="s">
        <v>107</v>
      </c>
      <c r="C873" s="97" t="s">
        <v>12</v>
      </c>
      <c r="D873" s="97">
        <v>300</v>
      </c>
      <c r="E873" s="97">
        <v>0</v>
      </c>
      <c r="F873" s="97">
        <v>500</v>
      </c>
      <c r="G873" s="97" t="s">
        <v>28</v>
      </c>
      <c r="H873" s="97" t="s">
        <v>4</v>
      </c>
    </row>
    <row r="874" spans="1:8">
      <c r="A874" s="97" t="s">
        <v>63</v>
      </c>
      <c r="B874" s="97" t="s">
        <v>107</v>
      </c>
      <c r="C874" s="97" t="s">
        <v>12</v>
      </c>
      <c r="D874" s="97">
        <v>300</v>
      </c>
      <c r="E874" s="97">
        <v>0</v>
      </c>
      <c r="F874" s="97">
        <v>500</v>
      </c>
      <c r="G874" s="97" t="s">
        <v>29</v>
      </c>
      <c r="H874" s="97" t="s">
        <v>4</v>
      </c>
    </row>
    <row r="875" spans="1:8">
      <c r="A875" s="97" t="s">
        <v>63</v>
      </c>
      <c r="B875" s="97" t="s">
        <v>107</v>
      </c>
      <c r="C875" s="97" t="s">
        <v>12</v>
      </c>
      <c r="D875" s="97">
        <v>300</v>
      </c>
      <c r="E875" s="97">
        <v>0</v>
      </c>
      <c r="F875" s="97">
        <v>500</v>
      </c>
      <c r="G875" s="97" t="s">
        <v>30</v>
      </c>
      <c r="H875" s="97" t="s">
        <v>4</v>
      </c>
    </row>
    <row r="876" spans="1:8">
      <c r="A876" s="97" t="s">
        <v>63</v>
      </c>
      <c r="B876" s="97" t="s">
        <v>107</v>
      </c>
      <c r="C876" s="97" t="s">
        <v>12</v>
      </c>
      <c r="D876" s="97">
        <v>300</v>
      </c>
      <c r="E876" s="97">
        <v>0</v>
      </c>
      <c r="F876" s="97">
        <v>500</v>
      </c>
      <c r="G876" s="97" t="s">
        <v>31</v>
      </c>
      <c r="H876" s="97" t="s">
        <v>8</v>
      </c>
    </row>
    <row r="877" spans="1:8">
      <c r="A877" s="97" t="s">
        <v>63</v>
      </c>
      <c r="B877" s="97" t="s">
        <v>107</v>
      </c>
      <c r="C877" s="97" t="s">
        <v>12</v>
      </c>
      <c r="D877" s="97">
        <v>300</v>
      </c>
      <c r="E877" s="97">
        <v>0</v>
      </c>
      <c r="F877" s="97">
        <v>500</v>
      </c>
      <c r="G877" s="97" t="s">
        <v>32</v>
      </c>
      <c r="H877" s="97" t="s">
        <v>4</v>
      </c>
    </row>
    <row r="878" spans="1:8">
      <c r="A878" s="97" t="s">
        <v>63</v>
      </c>
      <c r="B878" s="97" t="s">
        <v>107</v>
      </c>
      <c r="C878" s="97" t="s">
        <v>12</v>
      </c>
      <c r="D878" s="97">
        <v>300</v>
      </c>
      <c r="E878" s="97">
        <v>0</v>
      </c>
      <c r="F878" s="97">
        <v>500</v>
      </c>
      <c r="G878" s="97" t="s">
        <v>33</v>
      </c>
      <c r="H878" s="97" t="s">
        <v>8</v>
      </c>
    </row>
    <row r="879" spans="1:8">
      <c r="A879" s="97" t="s">
        <v>63</v>
      </c>
      <c r="B879" s="97" t="s">
        <v>107</v>
      </c>
      <c r="C879" s="97" t="s">
        <v>12</v>
      </c>
      <c r="D879" s="97">
        <v>300</v>
      </c>
      <c r="E879" s="97">
        <v>0</v>
      </c>
      <c r="F879" s="97">
        <v>500</v>
      </c>
      <c r="G879" s="97" t="s">
        <v>34</v>
      </c>
      <c r="H879" s="97" t="s">
        <v>10</v>
      </c>
    </row>
    <row r="880" spans="1:8">
      <c r="A880" s="97" t="s">
        <v>63</v>
      </c>
      <c r="B880" s="97" t="s">
        <v>107</v>
      </c>
      <c r="C880" s="97" t="s">
        <v>12</v>
      </c>
      <c r="D880" s="97">
        <v>300</v>
      </c>
      <c r="E880" s="97">
        <v>0</v>
      </c>
      <c r="F880" s="97">
        <v>500</v>
      </c>
      <c r="G880" s="97" t="s">
        <v>129</v>
      </c>
      <c r="H880" s="97">
        <v>800</v>
      </c>
    </row>
    <row r="881" spans="1:8">
      <c r="A881" s="97" t="s">
        <v>63</v>
      </c>
      <c r="B881" s="97" t="s">
        <v>107</v>
      </c>
      <c r="C881" s="97" t="s">
        <v>12</v>
      </c>
      <c r="D881" s="97">
        <v>300</v>
      </c>
      <c r="E881" s="97">
        <v>0</v>
      </c>
      <c r="F881" s="97">
        <v>500</v>
      </c>
      <c r="G881" s="97" t="s">
        <v>132</v>
      </c>
      <c r="H881" s="97">
        <v>1</v>
      </c>
    </row>
    <row r="882" spans="1:8">
      <c r="A882" s="97" t="s">
        <v>63</v>
      </c>
      <c r="B882" s="97" t="s">
        <v>107</v>
      </c>
      <c r="C882" s="97" t="s">
        <v>12</v>
      </c>
      <c r="D882" s="97">
        <v>300</v>
      </c>
      <c r="E882" s="97">
        <v>0</v>
      </c>
      <c r="F882" s="97">
        <v>500</v>
      </c>
      <c r="G882" s="97" t="s">
        <v>147</v>
      </c>
      <c r="H882" s="97" t="s">
        <v>149</v>
      </c>
    </row>
    <row r="883" spans="1:8">
      <c r="A883" s="97" t="s">
        <v>89</v>
      </c>
      <c r="B883" s="97" t="s">
        <v>107</v>
      </c>
      <c r="C883" s="97" t="s">
        <v>13</v>
      </c>
      <c r="D883" s="97">
        <v>300</v>
      </c>
      <c r="E883" s="97">
        <v>0</v>
      </c>
      <c r="F883" s="97">
        <v>3500</v>
      </c>
      <c r="G883" s="97" t="s">
        <v>24</v>
      </c>
      <c r="H883" s="97" t="s">
        <v>6</v>
      </c>
    </row>
    <row r="884" spans="1:8">
      <c r="A884" s="97" t="s">
        <v>89</v>
      </c>
      <c r="B884" s="97" t="s">
        <v>107</v>
      </c>
      <c r="C884" s="97" t="s">
        <v>13</v>
      </c>
      <c r="D884" s="97">
        <v>300</v>
      </c>
      <c r="E884" s="97">
        <v>0</v>
      </c>
      <c r="F884" s="97">
        <v>3500</v>
      </c>
      <c r="G884" s="97" t="s">
        <v>25</v>
      </c>
      <c r="H884" s="97" t="s">
        <v>10</v>
      </c>
    </row>
    <row r="885" spans="1:8">
      <c r="A885" s="97" t="s">
        <v>89</v>
      </c>
      <c r="B885" s="97" t="s">
        <v>107</v>
      </c>
      <c r="C885" s="97" t="s">
        <v>13</v>
      </c>
      <c r="D885" s="97">
        <v>300</v>
      </c>
      <c r="E885" s="97">
        <v>0</v>
      </c>
      <c r="F885" s="97">
        <v>3500</v>
      </c>
      <c r="G885" s="97" t="s">
        <v>26</v>
      </c>
      <c r="H885" s="97" t="s">
        <v>10</v>
      </c>
    </row>
    <row r="886" spans="1:8">
      <c r="A886" s="97" t="s">
        <v>89</v>
      </c>
      <c r="B886" s="97" t="s">
        <v>107</v>
      </c>
      <c r="C886" s="97" t="s">
        <v>13</v>
      </c>
      <c r="D886" s="97">
        <v>300</v>
      </c>
      <c r="E886" s="97">
        <v>0</v>
      </c>
      <c r="F886" s="97">
        <v>3500</v>
      </c>
      <c r="G886" s="97" t="s">
        <v>27</v>
      </c>
      <c r="H886" s="97" t="s">
        <v>10</v>
      </c>
    </row>
    <row r="887" spans="1:8">
      <c r="A887" s="97" t="s">
        <v>89</v>
      </c>
      <c r="B887" s="97" t="s">
        <v>107</v>
      </c>
      <c r="C887" s="97" t="s">
        <v>13</v>
      </c>
      <c r="D887" s="97">
        <v>300</v>
      </c>
      <c r="E887" s="97">
        <v>0</v>
      </c>
      <c r="F887" s="97">
        <v>3500</v>
      </c>
      <c r="G887" s="97" t="s">
        <v>28</v>
      </c>
      <c r="H887" s="97" t="s">
        <v>4</v>
      </c>
    </row>
    <row r="888" spans="1:8">
      <c r="A888" s="97" t="s">
        <v>89</v>
      </c>
      <c r="B888" s="97" t="s">
        <v>107</v>
      </c>
      <c r="C888" s="97" t="s">
        <v>13</v>
      </c>
      <c r="D888" s="97">
        <v>300</v>
      </c>
      <c r="E888" s="97">
        <v>0</v>
      </c>
      <c r="F888" s="97">
        <v>3500</v>
      </c>
      <c r="G888" s="97" t="s">
        <v>29</v>
      </c>
      <c r="H888" s="97" t="s">
        <v>10</v>
      </c>
    </row>
    <row r="889" spans="1:8">
      <c r="A889" s="97" t="s">
        <v>89</v>
      </c>
      <c r="B889" s="97" t="s">
        <v>107</v>
      </c>
      <c r="C889" s="97" t="s">
        <v>13</v>
      </c>
      <c r="D889" s="97">
        <v>300</v>
      </c>
      <c r="E889" s="97">
        <v>0</v>
      </c>
      <c r="F889" s="97">
        <v>3500</v>
      </c>
      <c r="G889" s="97" t="s">
        <v>30</v>
      </c>
      <c r="H889" s="97" t="s">
        <v>4</v>
      </c>
    </row>
    <row r="890" spans="1:8">
      <c r="A890" s="97" t="s">
        <v>89</v>
      </c>
      <c r="B890" s="97" t="s">
        <v>107</v>
      </c>
      <c r="C890" s="97" t="s">
        <v>13</v>
      </c>
      <c r="D890" s="97">
        <v>300</v>
      </c>
      <c r="E890" s="97">
        <v>0</v>
      </c>
      <c r="F890" s="97">
        <v>3500</v>
      </c>
      <c r="G890" s="97" t="s">
        <v>31</v>
      </c>
      <c r="H890" s="97" t="s">
        <v>10</v>
      </c>
    </row>
    <row r="891" spans="1:8">
      <c r="A891" s="97" t="s">
        <v>89</v>
      </c>
      <c r="B891" s="97" t="s">
        <v>107</v>
      </c>
      <c r="C891" s="97" t="s">
        <v>13</v>
      </c>
      <c r="D891" s="97">
        <v>300</v>
      </c>
      <c r="E891" s="97">
        <v>0</v>
      </c>
      <c r="F891" s="97">
        <v>3500</v>
      </c>
      <c r="G891" s="97" t="s">
        <v>32</v>
      </c>
      <c r="H891" s="97" t="s">
        <v>10</v>
      </c>
    </row>
    <row r="892" spans="1:8">
      <c r="A892" s="97" t="s">
        <v>89</v>
      </c>
      <c r="B892" s="97" t="s">
        <v>107</v>
      </c>
      <c r="C892" s="97" t="s">
        <v>13</v>
      </c>
      <c r="D892" s="97">
        <v>300</v>
      </c>
      <c r="E892" s="97">
        <v>0</v>
      </c>
      <c r="F892" s="97">
        <v>3500</v>
      </c>
      <c r="G892" s="97" t="s">
        <v>33</v>
      </c>
      <c r="H892" s="97" t="s">
        <v>10</v>
      </c>
    </row>
    <row r="893" spans="1:8">
      <c r="A893" s="97" t="s">
        <v>89</v>
      </c>
      <c r="B893" s="97" t="s">
        <v>107</v>
      </c>
      <c r="C893" s="97" t="s">
        <v>13</v>
      </c>
      <c r="D893" s="97">
        <v>300</v>
      </c>
      <c r="E893" s="97">
        <v>0</v>
      </c>
      <c r="F893" s="97">
        <v>3500</v>
      </c>
      <c r="G893" s="97" t="s">
        <v>34</v>
      </c>
      <c r="H893" s="97" t="s">
        <v>4</v>
      </c>
    </row>
    <row r="894" spans="1:8">
      <c r="A894" s="97" t="s">
        <v>89</v>
      </c>
      <c r="B894" s="97" t="s">
        <v>107</v>
      </c>
      <c r="C894" s="97" t="s">
        <v>13</v>
      </c>
      <c r="D894" s="97">
        <v>300</v>
      </c>
      <c r="E894" s="97">
        <v>0</v>
      </c>
      <c r="F894" s="97">
        <v>3500</v>
      </c>
      <c r="G894" s="97" t="s">
        <v>129</v>
      </c>
      <c r="H894" s="97">
        <v>3800</v>
      </c>
    </row>
    <row r="895" spans="1:8">
      <c r="A895" s="97" t="s">
        <v>89</v>
      </c>
      <c r="B895" s="97" t="s">
        <v>107</v>
      </c>
      <c r="C895" s="97" t="s">
        <v>13</v>
      </c>
      <c r="D895" s="97">
        <v>300</v>
      </c>
      <c r="E895" s="97">
        <v>0</v>
      </c>
      <c r="F895" s="97">
        <v>3500</v>
      </c>
      <c r="G895" s="97" t="s">
        <v>132</v>
      </c>
      <c r="H895" s="97">
        <v>7</v>
      </c>
    </row>
    <row r="896" spans="1:8">
      <c r="A896" s="97" t="s">
        <v>89</v>
      </c>
      <c r="B896" s="97" t="s">
        <v>107</v>
      </c>
      <c r="C896" s="97" t="s">
        <v>13</v>
      </c>
      <c r="D896" s="97">
        <v>300</v>
      </c>
      <c r="E896" s="97">
        <v>0</v>
      </c>
      <c r="F896" s="97">
        <v>3500</v>
      </c>
      <c r="G896" s="97" t="s">
        <v>147</v>
      </c>
      <c r="H896" s="97" t="s">
        <v>149</v>
      </c>
    </row>
    <row r="897" spans="1:8">
      <c r="A897" s="97" t="s">
        <v>39</v>
      </c>
      <c r="B897" s="97" t="s">
        <v>107</v>
      </c>
      <c r="C897" s="97" t="s">
        <v>12</v>
      </c>
      <c r="D897" s="97">
        <v>0</v>
      </c>
      <c r="E897" s="97">
        <v>0</v>
      </c>
      <c r="F897" s="97">
        <v>2500</v>
      </c>
      <c r="G897" s="97" t="s">
        <v>24</v>
      </c>
      <c r="H897" s="97" t="s">
        <v>4</v>
      </c>
    </row>
    <row r="898" spans="1:8">
      <c r="A898" s="97" t="s">
        <v>39</v>
      </c>
      <c r="B898" s="97" t="s">
        <v>107</v>
      </c>
      <c r="C898" s="97" t="s">
        <v>12</v>
      </c>
      <c r="D898" s="97">
        <v>0</v>
      </c>
      <c r="E898" s="97">
        <v>0</v>
      </c>
      <c r="F898" s="97">
        <v>2500</v>
      </c>
      <c r="G898" s="97" t="s">
        <v>25</v>
      </c>
      <c r="H898" s="97" t="s">
        <v>10</v>
      </c>
    </row>
    <row r="899" spans="1:8">
      <c r="A899" s="97" t="s">
        <v>39</v>
      </c>
      <c r="B899" s="97" t="s">
        <v>107</v>
      </c>
      <c r="C899" s="97" t="s">
        <v>12</v>
      </c>
      <c r="D899" s="97">
        <v>0</v>
      </c>
      <c r="E899" s="97">
        <v>0</v>
      </c>
      <c r="F899" s="97">
        <v>2500</v>
      </c>
      <c r="G899" s="97" t="s">
        <v>26</v>
      </c>
      <c r="H899" s="97" t="s">
        <v>10</v>
      </c>
    </row>
    <row r="900" spans="1:8">
      <c r="A900" s="97" t="s">
        <v>39</v>
      </c>
      <c r="B900" s="97" t="s">
        <v>107</v>
      </c>
      <c r="C900" s="97" t="s">
        <v>12</v>
      </c>
      <c r="D900" s="97">
        <v>0</v>
      </c>
      <c r="E900" s="97">
        <v>0</v>
      </c>
      <c r="F900" s="97">
        <v>2500</v>
      </c>
      <c r="G900" s="97" t="s">
        <v>27</v>
      </c>
      <c r="H900" s="97" t="s">
        <v>4</v>
      </c>
    </row>
    <row r="901" spans="1:8">
      <c r="A901" s="97" t="s">
        <v>39</v>
      </c>
      <c r="B901" s="97" t="s">
        <v>107</v>
      </c>
      <c r="C901" s="97" t="s">
        <v>12</v>
      </c>
      <c r="D901" s="97">
        <v>0</v>
      </c>
      <c r="E901" s="97">
        <v>0</v>
      </c>
      <c r="F901" s="97">
        <v>2500</v>
      </c>
      <c r="G901" s="97" t="s">
        <v>28</v>
      </c>
      <c r="H901" s="97" t="s">
        <v>4</v>
      </c>
    </row>
    <row r="902" spans="1:8">
      <c r="A902" s="97" t="s">
        <v>39</v>
      </c>
      <c r="B902" s="97" t="s">
        <v>107</v>
      </c>
      <c r="C902" s="97" t="s">
        <v>12</v>
      </c>
      <c r="D902" s="97">
        <v>0</v>
      </c>
      <c r="E902" s="97">
        <v>0</v>
      </c>
      <c r="F902" s="97">
        <v>2500</v>
      </c>
      <c r="G902" s="97" t="s">
        <v>29</v>
      </c>
      <c r="H902" s="97" t="s">
        <v>8</v>
      </c>
    </row>
    <row r="903" spans="1:8">
      <c r="A903" s="97" t="s">
        <v>39</v>
      </c>
      <c r="B903" s="97" t="s">
        <v>107</v>
      </c>
      <c r="C903" s="97" t="s">
        <v>12</v>
      </c>
      <c r="D903" s="97">
        <v>0</v>
      </c>
      <c r="E903" s="97">
        <v>0</v>
      </c>
      <c r="F903" s="97">
        <v>2500</v>
      </c>
      <c r="G903" s="97" t="s">
        <v>30</v>
      </c>
      <c r="H903" s="97" t="s">
        <v>10</v>
      </c>
    </row>
    <row r="904" spans="1:8">
      <c r="A904" s="97" t="s">
        <v>39</v>
      </c>
      <c r="B904" s="97" t="s">
        <v>107</v>
      </c>
      <c r="C904" s="97" t="s">
        <v>12</v>
      </c>
      <c r="D904" s="97">
        <v>0</v>
      </c>
      <c r="E904" s="97">
        <v>0</v>
      </c>
      <c r="F904" s="97">
        <v>2500</v>
      </c>
      <c r="G904" s="97" t="s">
        <v>31</v>
      </c>
      <c r="H904" s="97" t="s">
        <v>4</v>
      </c>
    </row>
    <row r="905" spans="1:8">
      <c r="A905" s="97" t="s">
        <v>39</v>
      </c>
      <c r="B905" s="97" t="s">
        <v>107</v>
      </c>
      <c r="C905" s="97" t="s">
        <v>12</v>
      </c>
      <c r="D905" s="97">
        <v>0</v>
      </c>
      <c r="E905" s="97">
        <v>0</v>
      </c>
      <c r="F905" s="97">
        <v>2500</v>
      </c>
      <c r="G905" s="97" t="s">
        <v>32</v>
      </c>
      <c r="H905" s="97" t="s">
        <v>10</v>
      </c>
    </row>
    <row r="906" spans="1:8">
      <c r="A906" s="97" t="s">
        <v>39</v>
      </c>
      <c r="B906" s="97" t="s">
        <v>107</v>
      </c>
      <c r="C906" s="97" t="s">
        <v>12</v>
      </c>
      <c r="D906" s="97">
        <v>0</v>
      </c>
      <c r="E906" s="97">
        <v>0</v>
      </c>
      <c r="F906" s="97">
        <v>2500</v>
      </c>
      <c r="G906" s="97" t="s">
        <v>33</v>
      </c>
      <c r="H906" s="97" t="s">
        <v>10</v>
      </c>
    </row>
    <row r="907" spans="1:8">
      <c r="A907" s="97" t="s">
        <v>39</v>
      </c>
      <c r="B907" s="97" t="s">
        <v>107</v>
      </c>
      <c r="C907" s="97" t="s">
        <v>12</v>
      </c>
      <c r="D907" s="97">
        <v>0</v>
      </c>
      <c r="E907" s="97">
        <v>0</v>
      </c>
      <c r="F907" s="97">
        <v>2500</v>
      </c>
      <c r="G907" s="97" t="s">
        <v>34</v>
      </c>
      <c r="H907" s="97" t="s">
        <v>4</v>
      </c>
    </row>
    <row r="908" spans="1:8">
      <c r="A908" s="97" t="s">
        <v>39</v>
      </c>
      <c r="B908" s="97" t="s">
        <v>107</v>
      </c>
      <c r="C908" s="97" t="s">
        <v>12</v>
      </c>
      <c r="D908" s="97">
        <v>0</v>
      </c>
      <c r="E908" s="97">
        <v>0</v>
      </c>
      <c r="F908" s="97">
        <v>2500</v>
      </c>
      <c r="G908" s="97" t="s">
        <v>129</v>
      </c>
      <c r="H908" s="97">
        <v>2500</v>
      </c>
    </row>
    <row r="909" spans="1:8">
      <c r="A909" s="97" t="s">
        <v>39</v>
      </c>
      <c r="B909" s="97" t="s">
        <v>107</v>
      </c>
      <c r="C909" s="97" t="s">
        <v>12</v>
      </c>
      <c r="D909" s="97">
        <v>0</v>
      </c>
      <c r="E909" s="97">
        <v>0</v>
      </c>
      <c r="F909" s="97">
        <v>2500</v>
      </c>
      <c r="G909" s="97" t="s">
        <v>132</v>
      </c>
      <c r="H909" s="97">
        <v>5</v>
      </c>
    </row>
    <row r="910" spans="1:8">
      <c r="A910" s="97" t="s">
        <v>39</v>
      </c>
      <c r="B910" s="97" t="s">
        <v>107</v>
      </c>
      <c r="C910" s="97" t="s">
        <v>12</v>
      </c>
      <c r="D910" s="97">
        <v>0</v>
      </c>
      <c r="E910" s="97">
        <v>0</v>
      </c>
      <c r="F910" s="97">
        <v>2500</v>
      </c>
      <c r="G910" s="97" t="s">
        <v>147</v>
      </c>
      <c r="H910" s="97" t="s">
        <v>149</v>
      </c>
    </row>
    <row r="911" spans="1:8">
      <c r="A911" s="97" t="s">
        <v>110</v>
      </c>
      <c r="B911" s="97" t="s">
        <v>107</v>
      </c>
      <c r="C911" s="97" t="s">
        <v>12</v>
      </c>
      <c r="D911" s="97">
        <v>300</v>
      </c>
      <c r="E911" s="97">
        <v>0</v>
      </c>
      <c r="F911" s="97">
        <v>1000</v>
      </c>
      <c r="G911" s="97" t="s">
        <v>24</v>
      </c>
      <c r="H911" s="97" t="s">
        <v>4</v>
      </c>
    </row>
    <row r="912" spans="1:8">
      <c r="A912" s="97" t="s">
        <v>110</v>
      </c>
      <c r="B912" s="97" t="s">
        <v>107</v>
      </c>
      <c r="C912" s="97" t="s">
        <v>12</v>
      </c>
      <c r="D912" s="97">
        <v>300</v>
      </c>
      <c r="E912" s="97">
        <v>0</v>
      </c>
      <c r="F912" s="97">
        <v>1000</v>
      </c>
      <c r="G912" s="97" t="s">
        <v>25</v>
      </c>
      <c r="H912" s="97" t="s">
        <v>4</v>
      </c>
    </row>
    <row r="913" spans="1:8">
      <c r="A913" s="97" t="s">
        <v>110</v>
      </c>
      <c r="B913" s="97" t="s">
        <v>107</v>
      </c>
      <c r="C913" s="97" t="s">
        <v>12</v>
      </c>
      <c r="D913" s="97">
        <v>300</v>
      </c>
      <c r="E913" s="97">
        <v>0</v>
      </c>
      <c r="F913" s="97">
        <v>1000</v>
      </c>
      <c r="G913" s="97" t="s">
        <v>26</v>
      </c>
      <c r="H913" s="97" t="s">
        <v>4</v>
      </c>
    </row>
    <row r="914" spans="1:8">
      <c r="A914" s="97" t="s">
        <v>110</v>
      </c>
      <c r="B914" s="97" t="s">
        <v>107</v>
      </c>
      <c r="C914" s="97" t="s">
        <v>12</v>
      </c>
      <c r="D914" s="97">
        <v>300</v>
      </c>
      <c r="E914" s="97">
        <v>0</v>
      </c>
      <c r="F914" s="97">
        <v>1000</v>
      </c>
      <c r="G914" s="97" t="s">
        <v>27</v>
      </c>
      <c r="H914" s="97" t="s">
        <v>4</v>
      </c>
    </row>
    <row r="915" spans="1:8">
      <c r="A915" s="97" t="s">
        <v>110</v>
      </c>
      <c r="B915" s="97" t="s">
        <v>107</v>
      </c>
      <c r="C915" s="97" t="s">
        <v>12</v>
      </c>
      <c r="D915" s="97">
        <v>300</v>
      </c>
      <c r="E915" s="97">
        <v>0</v>
      </c>
      <c r="F915" s="97">
        <v>1000</v>
      </c>
      <c r="G915" s="97" t="s">
        <v>28</v>
      </c>
      <c r="H915" s="97" t="s">
        <v>4</v>
      </c>
    </row>
    <row r="916" spans="1:8">
      <c r="A916" s="97" t="s">
        <v>110</v>
      </c>
      <c r="B916" s="97" t="s">
        <v>107</v>
      </c>
      <c r="C916" s="97" t="s">
        <v>12</v>
      </c>
      <c r="D916" s="97">
        <v>300</v>
      </c>
      <c r="E916" s="97">
        <v>0</v>
      </c>
      <c r="F916" s="97">
        <v>1000</v>
      </c>
      <c r="G916" s="97" t="s">
        <v>29</v>
      </c>
      <c r="H916" s="97" t="s">
        <v>6</v>
      </c>
    </row>
    <row r="917" spans="1:8">
      <c r="A917" s="97" t="s">
        <v>110</v>
      </c>
      <c r="B917" s="97" t="s">
        <v>107</v>
      </c>
      <c r="C917" s="97" t="s">
        <v>12</v>
      </c>
      <c r="D917" s="97">
        <v>300</v>
      </c>
      <c r="E917" s="97">
        <v>0</v>
      </c>
      <c r="F917" s="97">
        <v>1000</v>
      </c>
      <c r="G917" s="97" t="s">
        <v>30</v>
      </c>
      <c r="H917" s="97" t="s">
        <v>4</v>
      </c>
    </row>
    <row r="918" spans="1:8">
      <c r="A918" s="97" t="s">
        <v>110</v>
      </c>
      <c r="B918" s="97" t="s">
        <v>107</v>
      </c>
      <c r="C918" s="97" t="s">
        <v>12</v>
      </c>
      <c r="D918" s="97">
        <v>300</v>
      </c>
      <c r="E918" s="97">
        <v>0</v>
      </c>
      <c r="F918" s="97">
        <v>1000</v>
      </c>
      <c r="G918" s="97" t="s">
        <v>31</v>
      </c>
      <c r="H918" s="97" t="s">
        <v>10</v>
      </c>
    </row>
    <row r="919" spans="1:8">
      <c r="A919" s="97" t="s">
        <v>110</v>
      </c>
      <c r="B919" s="97" t="s">
        <v>107</v>
      </c>
      <c r="C919" s="97" t="s">
        <v>12</v>
      </c>
      <c r="D919" s="97">
        <v>300</v>
      </c>
      <c r="E919" s="97">
        <v>0</v>
      </c>
      <c r="F919" s="97">
        <v>1000</v>
      </c>
      <c r="G919" s="97" t="s">
        <v>32</v>
      </c>
      <c r="H919" s="97" t="s">
        <v>4</v>
      </c>
    </row>
    <row r="920" spans="1:8">
      <c r="A920" s="97" t="s">
        <v>110</v>
      </c>
      <c r="B920" s="97" t="s">
        <v>107</v>
      </c>
      <c r="C920" s="97" t="s">
        <v>12</v>
      </c>
      <c r="D920" s="97">
        <v>300</v>
      </c>
      <c r="E920" s="97">
        <v>0</v>
      </c>
      <c r="F920" s="97">
        <v>1000</v>
      </c>
      <c r="G920" s="97" t="s">
        <v>33</v>
      </c>
      <c r="H920" s="97" t="s">
        <v>10</v>
      </c>
    </row>
    <row r="921" spans="1:8">
      <c r="A921" s="97" t="s">
        <v>110</v>
      </c>
      <c r="B921" s="97" t="s">
        <v>107</v>
      </c>
      <c r="C921" s="97" t="s">
        <v>12</v>
      </c>
      <c r="D921" s="97">
        <v>300</v>
      </c>
      <c r="E921" s="97">
        <v>0</v>
      </c>
      <c r="F921" s="97">
        <v>1000</v>
      </c>
      <c r="G921" s="97" t="s">
        <v>34</v>
      </c>
      <c r="H921" s="97" t="s">
        <v>4</v>
      </c>
    </row>
    <row r="922" spans="1:8">
      <c r="A922" s="97" t="s">
        <v>110</v>
      </c>
      <c r="B922" s="97" t="s">
        <v>107</v>
      </c>
      <c r="C922" s="97" t="s">
        <v>12</v>
      </c>
      <c r="D922" s="97">
        <v>300</v>
      </c>
      <c r="E922" s="97">
        <v>0</v>
      </c>
      <c r="F922" s="97">
        <v>1000</v>
      </c>
      <c r="G922" s="97" t="s">
        <v>129</v>
      </c>
      <c r="H922" s="97">
        <v>1300</v>
      </c>
    </row>
    <row r="923" spans="1:8">
      <c r="A923" s="97" t="s">
        <v>110</v>
      </c>
      <c r="B923" s="97" t="s">
        <v>107</v>
      </c>
      <c r="C923" s="97" t="s">
        <v>12</v>
      </c>
      <c r="D923" s="97">
        <v>300</v>
      </c>
      <c r="E923" s="97">
        <v>0</v>
      </c>
      <c r="F923" s="97">
        <v>1000</v>
      </c>
      <c r="G923" s="97" t="s">
        <v>132</v>
      </c>
      <c r="H923" s="97">
        <v>2</v>
      </c>
    </row>
    <row r="924" spans="1:8">
      <c r="A924" s="97" t="s">
        <v>110</v>
      </c>
      <c r="B924" s="97" t="s">
        <v>107</v>
      </c>
      <c r="C924" s="97" t="s">
        <v>12</v>
      </c>
      <c r="D924" s="97">
        <v>300</v>
      </c>
      <c r="E924" s="97">
        <v>0</v>
      </c>
      <c r="F924" s="97">
        <v>1000</v>
      </c>
      <c r="G924" s="97" t="s">
        <v>147</v>
      </c>
      <c r="H924" s="97" t="s">
        <v>149</v>
      </c>
    </row>
    <row r="925" spans="1:8">
      <c r="A925" s="97" t="s">
        <v>58</v>
      </c>
      <c r="B925" s="97" t="s">
        <v>106</v>
      </c>
      <c r="C925" s="97" t="s">
        <v>13</v>
      </c>
      <c r="D925" s="97">
        <v>300</v>
      </c>
      <c r="E925" s="97">
        <v>0</v>
      </c>
      <c r="F925" s="97">
        <v>1000</v>
      </c>
      <c r="G925" s="97" t="s">
        <v>24</v>
      </c>
      <c r="H925" s="97" t="s">
        <v>4</v>
      </c>
    </row>
    <row r="926" spans="1:8">
      <c r="A926" s="97" t="s">
        <v>58</v>
      </c>
      <c r="B926" s="97" t="s">
        <v>106</v>
      </c>
      <c r="C926" s="97" t="s">
        <v>13</v>
      </c>
      <c r="D926" s="97">
        <v>300</v>
      </c>
      <c r="E926" s="97">
        <v>0</v>
      </c>
      <c r="F926" s="97">
        <v>1000</v>
      </c>
      <c r="G926" s="97" t="s">
        <v>25</v>
      </c>
      <c r="H926" s="97" t="s">
        <v>6</v>
      </c>
    </row>
    <row r="927" spans="1:8">
      <c r="A927" s="97" t="s">
        <v>58</v>
      </c>
      <c r="B927" s="97" t="s">
        <v>106</v>
      </c>
      <c r="C927" s="97" t="s">
        <v>13</v>
      </c>
      <c r="D927" s="97">
        <v>300</v>
      </c>
      <c r="E927" s="97">
        <v>0</v>
      </c>
      <c r="F927" s="97">
        <v>1000</v>
      </c>
      <c r="G927" s="97" t="s">
        <v>26</v>
      </c>
      <c r="H927" s="97" t="s">
        <v>4</v>
      </c>
    </row>
    <row r="928" spans="1:8">
      <c r="A928" s="97" t="s">
        <v>58</v>
      </c>
      <c r="B928" s="97" t="s">
        <v>106</v>
      </c>
      <c r="C928" s="97" t="s">
        <v>13</v>
      </c>
      <c r="D928" s="97">
        <v>300</v>
      </c>
      <c r="E928" s="97">
        <v>0</v>
      </c>
      <c r="F928" s="97">
        <v>1000</v>
      </c>
      <c r="G928" s="97" t="s">
        <v>27</v>
      </c>
      <c r="H928" s="97" t="s">
        <v>4</v>
      </c>
    </row>
    <row r="929" spans="1:8">
      <c r="A929" s="97" t="s">
        <v>58</v>
      </c>
      <c r="B929" s="97" t="s">
        <v>106</v>
      </c>
      <c r="C929" s="97" t="s">
        <v>13</v>
      </c>
      <c r="D929" s="97">
        <v>300</v>
      </c>
      <c r="E929" s="97">
        <v>0</v>
      </c>
      <c r="F929" s="97">
        <v>1000</v>
      </c>
      <c r="G929" s="97" t="s">
        <v>28</v>
      </c>
      <c r="H929" s="97" t="s">
        <v>4</v>
      </c>
    </row>
    <row r="930" spans="1:8">
      <c r="A930" s="97" t="s">
        <v>58</v>
      </c>
      <c r="B930" s="97" t="s">
        <v>106</v>
      </c>
      <c r="C930" s="97" t="s">
        <v>13</v>
      </c>
      <c r="D930" s="97">
        <v>300</v>
      </c>
      <c r="E930" s="97">
        <v>0</v>
      </c>
      <c r="F930" s="97">
        <v>1000</v>
      </c>
      <c r="G930" s="97" t="s">
        <v>29</v>
      </c>
      <c r="H930" s="97" t="s">
        <v>4</v>
      </c>
    </row>
    <row r="931" spans="1:8">
      <c r="A931" s="97" t="s">
        <v>58</v>
      </c>
      <c r="B931" s="97" t="s">
        <v>106</v>
      </c>
      <c r="C931" s="97" t="s">
        <v>13</v>
      </c>
      <c r="D931" s="97">
        <v>300</v>
      </c>
      <c r="E931" s="97">
        <v>0</v>
      </c>
      <c r="F931" s="97">
        <v>1000</v>
      </c>
      <c r="G931" s="97" t="s">
        <v>30</v>
      </c>
      <c r="H931" s="97" t="s">
        <v>4</v>
      </c>
    </row>
    <row r="932" spans="1:8">
      <c r="A932" s="97" t="s">
        <v>58</v>
      </c>
      <c r="B932" s="97" t="s">
        <v>106</v>
      </c>
      <c r="C932" s="97" t="s">
        <v>13</v>
      </c>
      <c r="D932" s="97">
        <v>300</v>
      </c>
      <c r="E932" s="97">
        <v>0</v>
      </c>
      <c r="F932" s="97">
        <v>1000</v>
      </c>
      <c r="G932" s="97" t="s">
        <v>31</v>
      </c>
      <c r="H932" s="97" t="s">
        <v>8</v>
      </c>
    </row>
    <row r="933" spans="1:8">
      <c r="A933" s="97" t="s">
        <v>58</v>
      </c>
      <c r="B933" s="97" t="s">
        <v>106</v>
      </c>
      <c r="C933" s="97" t="s">
        <v>13</v>
      </c>
      <c r="D933" s="97">
        <v>300</v>
      </c>
      <c r="E933" s="97">
        <v>0</v>
      </c>
      <c r="F933" s="97">
        <v>1000</v>
      </c>
      <c r="G933" s="97" t="s">
        <v>32</v>
      </c>
      <c r="H933" s="97" t="s">
        <v>4</v>
      </c>
    </row>
    <row r="934" spans="1:8">
      <c r="A934" s="97" t="s">
        <v>58</v>
      </c>
      <c r="B934" s="97" t="s">
        <v>106</v>
      </c>
      <c r="C934" s="97" t="s">
        <v>13</v>
      </c>
      <c r="D934" s="97">
        <v>300</v>
      </c>
      <c r="E934" s="97">
        <v>0</v>
      </c>
      <c r="F934" s="97">
        <v>1000</v>
      </c>
      <c r="G934" s="97" t="s">
        <v>33</v>
      </c>
      <c r="H934" s="97" t="s">
        <v>10</v>
      </c>
    </row>
    <row r="935" spans="1:8">
      <c r="A935" s="97" t="s">
        <v>58</v>
      </c>
      <c r="B935" s="97" t="s">
        <v>106</v>
      </c>
      <c r="C935" s="97" t="s">
        <v>13</v>
      </c>
      <c r="D935" s="97">
        <v>300</v>
      </c>
      <c r="E935" s="97">
        <v>0</v>
      </c>
      <c r="F935" s="97">
        <v>1000</v>
      </c>
      <c r="G935" s="97" t="s">
        <v>34</v>
      </c>
      <c r="H935" s="97" t="s">
        <v>10</v>
      </c>
    </row>
    <row r="936" spans="1:8">
      <c r="A936" s="97" t="s">
        <v>58</v>
      </c>
      <c r="B936" s="97" t="s">
        <v>106</v>
      </c>
      <c r="C936" s="97" t="s">
        <v>13</v>
      </c>
      <c r="D936" s="97">
        <v>300</v>
      </c>
      <c r="E936" s="97">
        <v>0</v>
      </c>
      <c r="F936" s="97">
        <v>1000</v>
      </c>
      <c r="G936" s="97" t="s">
        <v>129</v>
      </c>
      <c r="H936" s="97">
        <v>1300</v>
      </c>
    </row>
    <row r="937" spans="1:8">
      <c r="A937" s="97" t="s">
        <v>58</v>
      </c>
      <c r="B937" s="97" t="s">
        <v>106</v>
      </c>
      <c r="C937" s="97" t="s">
        <v>13</v>
      </c>
      <c r="D937" s="97">
        <v>300</v>
      </c>
      <c r="E937" s="97">
        <v>0</v>
      </c>
      <c r="F937" s="97">
        <v>1000</v>
      </c>
      <c r="G937" s="97" t="s">
        <v>132</v>
      </c>
      <c r="H937" s="97">
        <v>2</v>
      </c>
    </row>
    <row r="938" spans="1:8">
      <c r="A938" s="97" t="s">
        <v>58</v>
      </c>
      <c r="B938" s="97" t="s">
        <v>106</v>
      </c>
      <c r="C938" s="97" t="s">
        <v>13</v>
      </c>
      <c r="D938" s="97">
        <v>300</v>
      </c>
      <c r="E938" s="97">
        <v>0</v>
      </c>
      <c r="F938" s="97">
        <v>1000</v>
      </c>
      <c r="G938" s="97" t="s">
        <v>147</v>
      </c>
      <c r="H938" s="97" t="s">
        <v>149</v>
      </c>
    </row>
    <row r="939" spans="1:8">
      <c r="A939" s="97" t="s">
        <v>101</v>
      </c>
      <c r="B939" s="97" t="s">
        <v>106</v>
      </c>
      <c r="C939" s="97" t="s">
        <v>13</v>
      </c>
      <c r="D939" s="97">
        <v>900</v>
      </c>
      <c r="E939" s="97">
        <v>0</v>
      </c>
      <c r="F939" s="97">
        <v>2000</v>
      </c>
      <c r="G939" s="97" t="s">
        <v>24</v>
      </c>
      <c r="H939" s="97" t="s">
        <v>4</v>
      </c>
    </row>
    <row r="940" spans="1:8">
      <c r="A940" s="97" t="s">
        <v>101</v>
      </c>
      <c r="B940" s="97" t="s">
        <v>106</v>
      </c>
      <c r="C940" s="97" t="s">
        <v>13</v>
      </c>
      <c r="D940" s="97">
        <v>900</v>
      </c>
      <c r="E940" s="97">
        <v>0</v>
      </c>
      <c r="F940" s="97">
        <v>2000</v>
      </c>
      <c r="G940" s="97" t="s">
        <v>25</v>
      </c>
      <c r="H940" s="97" t="s">
        <v>10</v>
      </c>
    </row>
    <row r="941" spans="1:8">
      <c r="A941" s="97" t="s">
        <v>101</v>
      </c>
      <c r="B941" s="97" t="s">
        <v>106</v>
      </c>
      <c r="C941" s="97" t="s">
        <v>13</v>
      </c>
      <c r="D941" s="97">
        <v>900</v>
      </c>
      <c r="E941" s="97">
        <v>0</v>
      </c>
      <c r="F941" s="97">
        <v>2000</v>
      </c>
      <c r="G941" s="97" t="s">
        <v>26</v>
      </c>
      <c r="H941" s="97" t="s">
        <v>10</v>
      </c>
    </row>
    <row r="942" spans="1:8">
      <c r="A942" s="97" t="s">
        <v>101</v>
      </c>
      <c r="B942" s="97" t="s">
        <v>106</v>
      </c>
      <c r="C942" s="97" t="s">
        <v>13</v>
      </c>
      <c r="D942" s="97">
        <v>900</v>
      </c>
      <c r="E942" s="97">
        <v>0</v>
      </c>
      <c r="F942" s="97">
        <v>2000</v>
      </c>
      <c r="G942" s="97" t="s">
        <v>27</v>
      </c>
      <c r="H942" s="97" t="s">
        <v>10</v>
      </c>
    </row>
    <row r="943" spans="1:8">
      <c r="A943" s="97" t="s">
        <v>101</v>
      </c>
      <c r="B943" s="97" t="s">
        <v>106</v>
      </c>
      <c r="C943" s="97" t="s">
        <v>13</v>
      </c>
      <c r="D943" s="97">
        <v>900</v>
      </c>
      <c r="E943" s="97">
        <v>0</v>
      </c>
      <c r="F943" s="97">
        <v>2000</v>
      </c>
      <c r="G943" s="97" t="s">
        <v>28</v>
      </c>
      <c r="H943" s="97" t="s">
        <v>6</v>
      </c>
    </row>
    <row r="944" spans="1:8">
      <c r="A944" s="97" t="s">
        <v>101</v>
      </c>
      <c r="B944" s="97" t="s">
        <v>106</v>
      </c>
      <c r="C944" s="97" t="s">
        <v>13</v>
      </c>
      <c r="D944" s="97">
        <v>900</v>
      </c>
      <c r="E944" s="97">
        <v>0</v>
      </c>
      <c r="F944" s="97">
        <v>2000</v>
      </c>
      <c r="G944" s="97" t="s">
        <v>29</v>
      </c>
      <c r="H944" s="97" t="s">
        <v>6</v>
      </c>
    </row>
    <row r="945" spans="1:8">
      <c r="A945" s="97" t="s">
        <v>101</v>
      </c>
      <c r="B945" s="97" t="s">
        <v>106</v>
      </c>
      <c r="C945" s="97" t="s">
        <v>13</v>
      </c>
      <c r="D945" s="97">
        <v>900</v>
      </c>
      <c r="E945" s="97">
        <v>0</v>
      </c>
      <c r="F945" s="97">
        <v>2000</v>
      </c>
      <c r="G945" s="97" t="s">
        <v>30</v>
      </c>
      <c r="H945" s="97" t="s">
        <v>6</v>
      </c>
    </row>
    <row r="946" spans="1:8">
      <c r="A946" s="97" t="s">
        <v>101</v>
      </c>
      <c r="B946" s="97" t="s">
        <v>106</v>
      </c>
      <c r="C946" s="97" t="s">
        <v>13</v>
      </c>
      <c r="D946" s="97">
        <v>900</v>
      </c>
      <c r="E946" s="97">
        <v>0</v>
      </c>
      <c r="F946" s="97">
        <v>2000</v>
      </c>
      <c r="G946" s="97" t="s">
        <v>31</v>
      </c>
      <c r="H946" s="97" t="s">
        <v>10</v>
      </c>
    </row>
    <row r="947" spans="1:8">
      <c r="A947" s="97" t="s">
        <v>101</v>
      </c>
      <c r="B947" s="97" t="s">
        <v>106</v>
      </c>
      <c r="C947" s="97" t="s">
        <v>13</v>
      </c>
      <c r="D947" s="97">
        <v>900</v>
      </c>
      <c r="E947" s="97">
        <v>0</v>
      </c>
      <c r="F947" s="97">
        <v>2000</v>
      </c>
      <c r="G947" s="97" t="s">
        <v>32</v>
      </c>
      <c r="H947" s="97" t="s">
        <v>4</v>
      </c>
    </row>
    <row r="948" spans="1:8">
      <c r="A948" s="97" t="s">
        <v>101</v>
      </c>
      <c r="B948" s="97" t="s">
        <v>106</v>
      </c>
      <c r="C948" s="97" t="s">
        <v>13</v>
      </c>
      <c r="D948" s="97">
        <v>900</v>
      </c>
      <c r="E948" s="97">
        <v>0</v>
      </c>
      <c r="F948" s="97">
        <v>2000</v>
      </c>
      <c r="G948" s="97" t="s">
        <v>33</v>
      </c>
      <c r="H948" s="97" t="s">
        <v>4</v>
      </c>
    </row>
    <row r="949" spans="1:8">
      <c r="A949" s="97" t="s">
        <v>101</v>
      </c>
      <c r="B949" s="97" t="s">
        <v>106</v>
      </c>
      <c r="C949" s="97" t="s">
        <v>13</v>
      </c>
      <c r="D949" s="97">
        <v>900</v>
      </c>
      <c r="E949" s="97">
        <v>0</v>
      </c>
      <c r="F949" s="97">
        <v>2000</v>
      </c>
      <c r="G949" s="97" t="s">
        <v>34</v>
      </c>
      <c r="H949" s="97" t="s">
        <v>4</v>
      </c>
    </row>
    <row r="950" spans="1:8">
      <c r="A950" s="97" t="s">
        <v>101</v>
      </c>
      <c r="B950" s="97" t="s">
        <v>106</v>
      </c>
      <c r="C950" s="97" t="s">
        <v>13</v>
      </c>
      <c r="D950" s="97">
        <v>900</v>
      </c>
      <c r="E950" s="97">
        <v>0</v>
      </c>
      <c r="F950" s="97">
        <v>2000</v>
      </c>
      <c r="G950" s="97" t="s">
        <v>129</v>
      </c>
      <c r="H950" s="97">
        <v>2900</v>
      </c>
    </row>
    <row r="951" spans="1:8">
      <c r="A951" s="97" t="s">
        <v>101</v>
      </c>
      <c r="B951" s="97" t="s">
        <v>106</v>
      </c>
      <c r="C951" s="97" t="s">
        <v>13</v>
      </c>
      <c r="D951" s="97">
        <v>900</v>
      </c>
      <c r="E951" s="97">
        <v>0</v>
      </c>
      <c r="F951" s="97">
        <v>2000</v>
      </c>
      <c r="G951" s="97" t="s">
        <v>132</v>
      </c>
      <c r="H951" s="97">
        <v>4</v>
      </c>
    </row>
    <row r="952" spans="1:8">
      <c r="A952" s="97" t="s">
        <v>101</v>
      </c>
      <c r="B952" s="97" t="s">
        <v>106</v>
      </c>
      <c r="C952" s="97" t="s">
        <v>13</v>
      </c>
      <c r="D952" s="97">
        <v>900</v>
      </c>
      <c r="E952" s="97">
        <v>0</v>
      </c>
      <c r="F952" s="97">
        <v>2000</v>
      </c>
      <c r="G952" s="97" t="s">
        <v>147</v>
      </c>
      <c r="H952" s="97" t="s">
        <v>149</v>
      </c>
    </row>
    <row r="953" spans="1:8">
      <c r="A953" s="97" t="s">
        <v>109</v>
      </c>
      <c r="B953" s="97" t="s">
        <v>107</v>
      </c>
      <c r="C953" s="97" t="s">
        <v>12</v>
      </c>
      <c r="D953" s="97">
        <v>600</v>
      </c>
      <c r="E953" s="97">
        <v>0</v>
      </c>
      <c r="F953" s="97">
        <v>1500</v>
      </c>
      <c r="G953" s="97" t="s">
        <v>24</v>
      </c>
      <c r="H953" s="97" t="s">
        <v>4</v>
      </c>
    </row>
    <row r="954" spans="1:8">
      <c r="A954" s="97" t="s">
        <v>109</v>
      </c>
      <c r="B954" s="97" t="s">
        <v>107</v>
      </c>
      <c r="C954" s="97" t="s">
        <v>12</v>
      </c>
      <c r="D954" s="97">
        <v>600</v>
      </c>
      <c r="E954" s="97">
        <v>0</v>
      </c>
      <c r="F954" s="97">
        <v>1500</v>
      </c>
      <c r="G954" s="97" t="s">
        <v>25</v>
      </c>
      <c r="H954" s="97" t="s">
        <v>10</v>
      </c>
    </row>
    <row r="955" spans="1:8">
      <c r="A955" s="97" t="s">
        <v>109</v>
      </c>
      <c r="B955" s="97" t="s">
        <v>107</v>
      </c>
      <c r="C955" s="97" t="s">
        <v>12</v>
      </c>
      <c r="D955" s="97">
        <v>600</v>
      </c>
      <c r="E955" s="97">
        <v>0</v>
      </c>
      <c r="F955" s="97">
        <v>1500</v>
      </c>
      <c r="G955" s="97" t="s">
        <v>26</v>
      </c>
      <c r="H955" s="97" t="s">
        <v>4</v>
      </c>
    </row>
    <row r="956" spans="1:8">
      <c r="A956" s="97" t="s">
        <v>109</v>
      </c>
      <c r="B956" s="97" t="s">
        <v>107</v>
      </c>
      <c r="C956" s="97" t="s">
        <v>12</v>
      </c>
      <c r="D956" s="97">
        <v>600</v>
      </c>
      <c r="E956" s="97">
        <v>0</v>
      </c>
      <c r="F956" s="97">
        <v>1500</v>
      </c>
      <c r="G956" s="97" t="s">
        <v>27</v>
      </c>
      <c r="H956" s="97" t="s">
        <v>10</v>
      </c>
    </row>
    <row r="957" spans="1:8">
      <c r="A957" s="97" t="s">
        <v>109</v>
      </c>
      <c r="B957" s="97" t="s">
        <v>107</v>
      </c>
      <c r="C957" s="97" t="s">
        <v>12</v>
      </c>
      <c r="D957" s="97">
        <v>600</v>
      </c>
      <c r="E957" s="97">
        <v>0</v>
      </c>
      <c r="F957" s="97">
        <v>1500</v>
      </c>
      <c r="G957" s="97" t="s">
        <v>28</v>
      </c>
      <c r="H957" s="97" t="s">
        <v>6</v>
      </c>
    </row>
    <row r="958" spans="1:8">
      <c r="A958" s="97" t="s">
        <v>109</v>
      </c>
      <c r="B958" s="97" t="s">
        <v>107</v>
      </c>
      <c r="C958" s="97" t="s">
        <v>12</v>
      </c>
      <c r="D958" s="97">
        <v>600</v>
      </c>
      <c r="E958" s="97">
        <v>0</v>
      </c>
      <c r="F958" s="97">
        <v>1500</v>
      </c>
      <c r="G958" s="97" t="s">
        <v>29</v>
      </c>
      <c r="H958" s="97" t="s">
        <v>8</v>
      </c>
    </row>
    <row r="959" spans="1:8">
      <c r="A959" s="97" t="s">
        <v>109</v>
      </c>
      <c r="B959" s="97" t="s">
        <v>107</v>
      </c>
      <c r="C959" s="97" t="s">
        <v>12</v>
      </c>
      <c r="D959" s="97">
        <v>600</v>
      </c>
      <c r="E959" s="97">
        <v>0</v>
      </c>
      <c r="F959" s="97">
        <v>1500</v>
      </c>
      <c r="G959" s="97" t="s">
        <v>30</v>
      </c>
      <c r="H959" s="97" t="s">
        <v>4</v>
      </c>
    </row>
    <row r="960" spans="1:8">
      <c r="A960" s="97" t="s">
        <v>109</v>
      </c>
      <c r="B960" s="97" t="s">
        <v>107</v>
      </c>
      <c r="C960" s="97" t="s">
        <v>12</v>
      </c>
      <c r="D960" s="97">
        <v>600</v>
      </c>
      <c r="E960" s="97">
        <v>0</v>
      </c>
      <c r="F960" s="97">
        <v>1500</v>
      </c>
      <c r="G960" s="97" t="s">
        <v>31</v>
      </c>
      <c r="H960" s="97" t="s">
        <v>4</v>
      </c>
    </row>
    <row r="961" spans="1:8">
      <c r="A961" s="97" t="s">
        <v>109</v>
      </c>
      <c r="B961" s="97" t="s">
        <v>107</v>
      </c>
      <c r="C961" s="97" t="s">
        <v>12</v>
      </c>
      <c r="D961" s="97">
        <v>600</v>
      </c>
      <c r="E961" s="97">
        <v>0</v>
      </c>
      <c r="F961" s="97">
        <v>1500</v>
      </c>
      <c r="G961" s="97" t="s">
        <v>32</v>
      </c>
      <c r="H961" s="97" t="s">
        <v>4</v>
      </c>
    </row>
    <row r="962" spans="1:8">
      <c r="A962" s="97" t="s">
        <v>109</v>
      </c>
      <c r="B962" s="97" t="s">
        <v>107</v>
      </c>
      <c r="C962" s="97" t="s">
        <v>12</v>
      </c>
      <c r="D962" s="97">
        <v>600</v>
      </c>
      <c r="E962" s="97">
        <v>0</v>
      </c>
      <c r="F962" s="97">
        <v>1500</v>
      </c>
      <c r="G962" s="97" t="s">
        <v>33</v>
      </c>
      <c r="H962" s="97" t="s">
        <v>4</v>
      </c>
    </row>
    <row r="963" spans="1:8">
      <c r="A963" s="97" t="s">
        <v>109</v>
      </c>
      <c r="B963" s="97" t="s">
        <v>107</v>
      </c>
      <c r="C963" s="97" t="s">
        <v>12</v>
      </c>
      <c r="D963" s="97">
        <v>600</v>
      </c>
      <c r="E963" s="97">
        <v>0</v>
      </c>
      <c r="F963" s="97">
        <v>1500</v>
      </c>
      <c r="G963" s="97" t="s">
        <v>34</v>
      </c>
      <c r="H963" s="97" t="s">
        <v>10</v>
      </c>
    </row>
    <row r="964" spans="1:8">
      <c r="A964" s="97" t="s">
        <v>109</v>
      </c>
      <c r="B964" s="97" t="s">
        <v>107</v>
      </c>
      <c r="C964" s="97" t="s">
        <v>12</v>
      </c>
      <c r="D964" s="97">
        <v>600</v>
      </c>
      <c r="E964" s="97">
        <v>0</v>
      </c>
      <c r="F964" s="97">
        <v>1500</v>
      </c>
      <c r="G964" s="97" t="s">
        <v>129</v>
      </c>
      <c r="H964" s="97">
        <v>2100</v>
      </c>
    </row>
    <row r="965" spans="1:8">
      <c r="A965" s="97" t="s">
        <v>109</v>
      </c>
      <c r="B965" s="97" t="s">
        <v>107</v>
      </c>
      <c r="C965" s="97" t="s">
        <v>12</v>
      </c>
      <c r="D965" s="97">
        <v>600</v>
      </c>
      <c r="E965" s="97">
        <v>0</v>
      </c>
      <c r="F965" s="97">
        <v>1500</v>
      </c>
      <c r="G965" s="97" t="s">
        <v>132</v>
      </c>
      <c r="H965" s="97">
        <v>3</v>
      </c>
    </row>
    <row r="966" spans="1:8">
      <c r="A966" s="97" t="s">
        <v>109</v>
      </c>
      <c r="B966" s="97" t="s">
        <v>107</v>
      </c>
      <c r="C966" s="97" t="s">
        <v>12</v>
      </c>
      <c r="D966" s="97">
        <v>600</v>
      </c>
      <c r="E966" s="97">
        <v>0</v>
      </c>
      <c r="F966" s="97">
        <v>1500</v>
      </c>
      <c r="G966" s="97" t="s">
        <v>147</v>
      </c>
      <c r="H966" s="97" t="s">
        <v>149</v>
      </c>
    </row>
    <row r="967" spans="1:8">
      <c r="A967" s="97" t="s">
        <v>88</v>
      </c>
      <c r="B967" s="97" t="s">
        <v>107</v>
      </c>
      <c r="C967" s="97" t="s">
        <v>12</v>
      </c>
      <c r="D967" s="97">
        <v>0</v>
      </c>
      <c r="E967" s="97">
        <v>0</v>
      </c>
      <c r="F967" s="97">
        <v>2000</v>
      </c>
      <c r="G967" s="97" t="s">
        <v>24</v>
      </c>
      <c r="H967" s="97" t="s">
        <v>10</v>
      </c>
    </row>
    <row r="968" spans="1:8">
      <c r="A968" s="97" t="s">
        <v>88</v>
      </c>
      <c r="B968" s="97" t="s">
        <v>107</v>
      </c>
      <c r="C968" s="97" t="s">
        <v>12</v>
      </c>
      <c r="D968" s="97">
        <v>0</v>
      </c>
      <c r="E968" s="97">
        <v>0</v>
      </c>
      <c r="F968" s="97">
        <v>2000</v>
      </c>
      <c r="G968" s="97" t="s">
        <v>25</v>
      </c>
      <c r="H968" s="97" t="s">
        <v>10</v>
      </c>
    </row>
    <row r="969" spans="1:8">
      <c r="A969" s="97" t="s">
        <v>88</v>
      </c>
      <c r="B969" s="97" t="s">
        <v>107</v>
      </c>
      <c r="C969" s="97" t="s">
        <v>12</v>
      </c>
      <c r="D969" s="97">
        <v>0</v>
      </c>
      <c r="E969" s="97">
        <v>0</v>
      </c>
      <c r="F969" s="97">
        <v>2000</v>
      </c>
      <c r="G969" s="97" t="s">
        <v>26</v>
      </c>
      <c r="H969" s="97" t="s">
        <v>4</v>
      </c>
    </row>
    <row r="970" spans="1:8">
      <c r="A970" s="97" t="s">
        <v>88</v>
      </c>
      <c r="B970" s="97" t="s">
        <v>107</v>
      </c>
      <c r="C970" s="97" t="s">
        <v>12</v>
      </c>
      <c r="D970" s="97">
        <v>0</v>
      </c>
      <c r="E970" s="97">
        <v>0</v>
      </c>
      <c r="F970" s="97">
        <v>2000</v>
      </c>
      <c r="G970" s="97" t="s">
        <v>27</v>
      </c>
      <c r="H970" s="97" t="s">
        <v>10</v>
      </c>
    </row>
    <row r="971" spans="1:8">
      <c r="A971" s="97" t="s">
        <v>88</v>
      </c>
      <c r="B971" s="97" t="s">
        <v>107</v>
      </c>
      <c r="C971" s="97" t="s">
        <v>12</v>
      </c>
      <c r="D971" s="97">
        <v>0</v>
      </c>
      <c r="E971" s="97">
        <v>0</v>
      </c>
      <c r="F971" s="97">
        <v>2000</v>
      </c>
      <c r="G971" s="97" t="s">
        <v>28</v>
      </c>
      <c r="H971" s="97" t="s">
        <v>4</v>
      </c>
    </row>
    <row r="972" spans="1:8">
      <c r="A972" s="97" t="s">
        <v>88</v>
      </c>
      <c r="B972" s="97" t="s">
        <v>107</v>
      </c>
      <c r="C972" s="97" t="s">
        <v>12</v>
      </c>
      <c r="D972" s="97">
        <v>0</v>
      </c>
      <c r="E972" s="97">
        <v>0</v>
      </c>
      <c r="F972" s="97">
        <v>2000</v>
      </c>
      <c r="G972" s="97" t="s">
        <v>29</v>
      </c>
      <c r="H972" s="97" t="s">
        <v>4</v>
      </c>
    </row>
    <row r="973" spans="1:8">
      <c r="A973" s="97" t="s">
        <v>88</v>
      </c>
      <c r="B973" s="97" t="s">
        <v>107</v>
      </c>
      <c r="C973" s="97" t="s">
        <v>12</v>
      </c>
      <c r="D973" s="97">
        <v>0</v>
      </c>
      <c r="E973" s="97">
        <v>0</v>
      </c>
      <c r="F973" s="97">
        <v>2000</v>
      </c>
      <c r="G973" s="97" t="s">
        <v>30</v>
      </c>
      <c r="H973" s="97" t="s">
        <v>4</v>
      </c>
    </row>
    <row r="974" spans="1:8">
      <c r="A974" s="97" t="s">
        <v>88</v>
      </c>
      <c r="B974" s="97" t="s">
        <v>107</v>
      </c>
      <c r="C974" s="97" t="s">
        <v>12</v>
      </c>
      <c r="D974" s="97">
        <v>0</v>
      </c>
      <c r="E974" s="97">
        <v>0</v>
      </c>
      <c r="F974" s="97">
        <v>2000</v>
      </c>
      <c r="G974" s="97" t="s">
        <v>31</v>
      </c>
      <c r="H974" s="97" t="s">
        <v>4</v>
      </c>
    </row>
    <row r="975" spans="1:8">
      <c r="A975" s="97" t="s">
        <v>88</v>
      </c>
      <c r="B975" s="97" t="s">
        <v>107</v>
      </c>
      <c r="C975" s="97" t="s">
        <v>12</v>
      </c>
      <c r="D975" s="97">
        <v>0</v>
      </c>
      <c r="E975" s="97">
        <v>0</v>
      </c>
      <c r="F975" s="97">
        <v>2000</v>
      </c>
      <c r="G975" s="97" t="s">
        <v>32</v>
      </c>
      <c r="H975" s="97" t="s">
        <v>4</v>
      </c>
    </row>
    <row r="976" spans="1:8">
      <c r="A976" s="97" t="s">
        <v>88</v>
      </c>
      <c r="B976" s="97" t="s">
        <v>107</v>
      </c>
      <c r="C976" s="97" t="s">
        <v>12</v>
      </c>
      <c r="D976" s="97">
        <v>0</v>
      </c>
      <c r="E976" s="97">
        <v>0</v>
      </c>
      <c r="F976" s="97">
        <v>2000</v>
      </c>
      <c r="G976" s="97" t="s">
        <v>33</v>
      </c>
      <c r="H976" s="97" t="s">
        <v>4</v>
      </c>
    </row>
    <row r="977" spans="1:8">
      <c r="A977" s="97" t="s">
        <v>88</v>
      </c>
      <c r="B977" s="97" t="s">
        <v>107</v>
      </c>
      <c r="C977" s="97" t="s">
        <v>12</v>
      </c>
      <c r="D977" s="97">
        <v>0</v>
      </c>
      <c r="E977" s="97">
        <v>0</v>
      </c>
      <c r="F977" s="97">
        <v>2000</v>
      </c>
      <c r="G977" s="97" t="s">
        <v>34</v>
      </c>
      <c r="H977" s="97" t="s">
        <v>10</v>
      </c>
    </row>
    <row r="978" spans="1:8">
      <c r="A978" s="97" t="s">
        <v>88</v>
      </c>
      <c r="B978" s="97" t="s">
        <v>107</v>
      </c>
      <c r="C978" s="97" t="s">
        <v>12</v>
      </c>
      <c r="D978" s="97">
        <v>0</v>
      </c>
      <c r="E978" s="97">
        <v>0</v>
      </c>
      <c r="F978" s="97">
        <v>2000</v>
      </c>
      <c r="G978" s="97" t="s">
        <v>129</v>
      </c>
      <c r="H978" s="97">
        <v>2000</v>
      </c>
    </row>
    <row r="979" spans="1:8">
      <c r="A979" s="97" t="s">
        <v>88</v>
      </c>
      <c r="B979" s="97" t="s">
        <v>107</v>
      </c>
      <c r="C979" s="97" t="s">
        <v>12</v>
      </c>
      <c r="D979" s="97">
        <v>0</v>
      </c>
      <c r="E979" s="97">
        <v>0</v>
      </c>
      <c r="F979" s="97">
        <v>2000</v>
      </c>
      <c r="G979" s="97" t="s">
        <v>132</v>
      </c>
      <c r="H979" s="97">
        <v>4</v>
      </c>
    </row>
    <row r="980" spans="1:8">
      <c r="A980" s="97" t="s">
        <v>88</v>
      </c>
      <c r="B980" s="97" t="s">
        <v>107</v>
      </c>
      <c r="C980" s="97" t="s">
        <v>12</v>
      </c>
      <c r="D980" s="97">
        <v>0</v>
      </c>
      <c r="E980" s="97">
        <v>0</v>
      </c>
      <c r="F980" s="97">
        <v>2000</v>
      </c>
      <c r="G980" s="97" t="s">
        <v>147</v>
      </c>
      <c r="H980" s="97" t="s">
        <v>149</v>
      </c>
    </row>
    <row r="981" spans="1:8">
      <c r="A981" s="97" t="s">
        <v>102</v>
      </c>
      <c r="B981" s="97" t="s">
        <v>107</v>
      </c>
      <c r="C981" s="97" t="s">
        <v>12</v>
      </c>
      <c r="D981" s="97">
        <v>0</v>
      </c>
      <c r="E981" s="97">
        <v>0</v>
      </c>
      <c r="F981" s="97">
        <v>500</v>
      </c>
      <c r="G981" s="97" t="s">
        <v>24</v>
      </c>
      <c r="H981" s="97" t="s">
        <v>4</v>
      </c>
    </row>
    <row r="982" spans="1:8">
      <c r="A982" s="97" t="s">
        <v>102</v>
      </c>
      <c r="B982" s="97" t="s">
        <v>107</v>
      </c>
      <c r="C982" s="97" t="s">
        <v>12</v>
      </c>
      <c r="D982" s="97">
        <v>0</v>
      </c>
      <c r="E982" s="97">
        <v>0</v>
      </c>
      <c r="F982" s="97">
        <v>500</v>
      </c>
      <c r="G982" s="97" t="s">
        <v>25</v>
      </c>
      <c r="H982" s="97" t="s">
        <v>4</v>
      </c>
    </row>
    <row r="983" spans="1:8">
      <c r="A983" s="97" t="s">
        <v>102</v>
      </c>
      <c r="B983" s="97" t="s">
        <v>107</v>
      </c>
      <c r="C983" s="97" t="s">
        <v>12</v>
      </c>
      <c r="D983" s="97">
        <v>0</v>
      </c>
      <c r="E983" s="97">
        <v>0</v>
      </c>
      <c r="F983" s="97">
        <v>500</v>
      </c>
      <c r="G983" s="97" t="s">
        <v>26</v>
      </c>
      <c r="H983" s="97" t="s">
        <v>4</v>
      </c>
    </row>
    <row r="984" spans="1:8">
      <c r="A984" s="97" t="s">
        <v>102</v>
      </c>
      <c r="B984" s="97" t="s">
        <v>107</v>
      </c>
      <c r="C984" s="97" t="s">
        <v>12</v>
      </c>
      <c r="D984" s="97">
        <v>0</v>
      </c>
      <c r="E984" s="97">
        <v>0</v>
      </c>
      <c r="F984" s="97">
        <v>500</v>
      </c>
      <c r="G984" s="97" t="s">
        <v>27</v>
      </c>
      <c r="H984" s="97" t="s">
        <v>4</v>
      </c>
    </row>
    <row r="985" spans="1:8">
      <c r="A985" s="97" t="s">
        <v>102</v>
      </c>
      <c r="B985" s="97" t="s">
        <v>107</v>
      </c>
      <c r="C985" s="97" t="s">
        <v>12</v>
      </c>
      <c r="D985" s="97">
        <v>0</v>
      </c>
      <c r="E985" s="97">
        <v>0</v>
      </c>
      <c r="F985" s="97">
        <v>500</v>
      </c>
      <c r="G985" s="97" t="s">
        <v>28</v>
      </c>
      <c r="H985" s="97" t="s">
        <v>4</v>
      </c>
    </row>
    <row r="986" spans="1:8">
      <c r="A986" s="97" t="s">
        <v>102</v>
      </c>
      <c r="B986" s="97" t="s">
        <v>107</v>
      </c>
      <c r="C986" s="97" t="s">
        <v>12</v>
      </c>
      <c r="D986" s="97">
        <v>0</v>
      </c>
      <c r="E986" s="97">
        <v>0</v>
      </c>
      <c r="F986" s="97">
        <v>500</v>
      </c>
      <c r="G986" s="97" t="s">
        <v>29</v>
      </c>
      <c r="H986" s="97" t="s">
        <v>4</v>
      </c>
    </row>
    <row r="987" spans="1:8">
      <c r="A987" s="97" t="s">
        <v>102</v>
      </c>
      <c r="B987" s="97" t="s">
        <v>107</v>
      </c>
      <c r="C987" s="97" t="s">
        <v>12</v>
      </c>
      <c r="D987" s="97">
        <v>0</v>
      </c>
      <c r="E987" s="97">
        <v>0</v>
      </c>
      <c r="F987" s="97">
        <v>500</v>
      </c>
      <c r="G987" s="97" t="s">
        <v>30</v>
      </c>
      <c r="H987" s="97" t="s">
        <v>4</v>
      </c>
    </row>
    <row r="988" spans="1:8">
      <c r="A988" s="97" t="s">
        <v>102</v>
      </c>
      <c r="B988" s="97" t="s">
        <v>107</v>
      </c>
      <c r="C988" s="97" t="s">
        <v>12</v>
      </c>
      <c r="D988" s="97">
        <v>0</v>
      </c>
      <c r="E988" s="97">
        <v>0</v>
      </c>
      <c r="F988" s="97">
        <v>500</v>
      </c>
      <c r="G988" s="97" t="s">
        <v>31</v>
      </c>
      <c r="H988" s="97" t="s">
        <v>4</v>
      </c>
    </row>
    <row r="989" spans="1:8">
      <c r="A989" s="97" t="s">
        <v>102</v>
      </c>
      <c r="B989" s="97" t="s">
        <v>107</v>
      </c>
      <c r="C989" s="97" t="s">
        <v>12</v>
      </c>
      <c r="D989" s="97">
        <v>0</v>
      </c>
      <c r="E989" s="97">
        <v>0</v>
      </c>
      <c r="F989" s="97">
        <v>500</v>
      </c>
      <c r="G989" s="97" t="s">
        <v>32</v>
      </c>
      <c r="H989" s="97" t="s">
        <v>4</v>
      </c>
    </row>
    <row r="990" spans="1:8">
      <c r="A990" s="97" t="s">
        <v>102</v>
      </c>
      <c r="B990" s="97" t="s">
        <v>107</v>
      </c>
      <c r="C990" s="97" t="s">
        <v>12</v>
      </c>
      <c r="D990" s="97">
        <v>0</v>
      </c>
      <c r="E990" s="97">
        <v>0</v>
      </c>
      <c r="F990" s="97">
        <v>500</v>
      </c>
      <c r="G990" s="97" t="s">
        <v>33</v>
      </c>
      <c r="H990" s="97" t="s">
        <v>4</v>
      </c>
    </row>
    <row r="991" spans="1:8">
      <c r="A991" s="97" t="s">
        <v>102</v>
      </c>
      <c r="B991" s="97" t="s">
        <v>107</v>
      </c>
      <c r="C991" s="97" t="s">
        <v>12</v>
      </c>
      <c r="D991" s="97">
        <v>0</v>
      </c>
      <c r="E991" s="97">
        <v>0</v>
      </c>
      <c r="F991" s="97">
        <v>500</v>
      </c>
      <c r="G991" s="97" t="s">
        <v>34</v>
      </c>
      <c r="H991" s="97" t="s">
        <v>10</v>
      </c>
    </row>
    <row r="992" spans="1:8">
      <c r="A992" s="97" t="s">
        <v>102</v>
      </c>
      <c r="B992" s="97" t="s">
        <v>107</v>
      </c>
      <c r="C992" s="97" t="s">
        <v>12</v>
      </c>
      <c r="D992" s="97">
        <v>0</v>
      </c>
      <c r="E992" s="97">
        <v>0</v>
      </c>
      <c r="F992" s="97">
        <v>500</v>
      </c>
      <c r="G992" s="97" t="s">
        <v>129</v>
      </c>
      <c r="H992" s="97">
        <v>500</v>
      </c>
    </row>
    <row r="993" spans="1:8">
      <c r="A993" s="97" t="s">
        <v>102</v>
      </c>
      <c r="B993" s="97" t="s">
        <v>107</v>
      </c>
      <c r="C993" s="97" t="s">
        <v>12</v>
      </c>
      <c r="D993" s="97">
        <v>0</v>
      </c>
      <c r="E993" s="97">
        <v>0</v>
      </c>
      <c r="F993" s="97">
        <v>500</v>
      </c>
      <c r="G993" s="97" t="s">
        <v>132</v>
      </c>
      <c r="H993" s="97">
        <v>1</v>
      </c>
    </row>
    <row r="994" spans="1:8">
      <c r="A994" s="97" t="s">
        <v>102</v>
      </c>
      <c r="B994" s="97" t="s">
        <v>107</v>
      </c>
      <c r="C994" s="97" t="s">
        <v>12</v>
      </c>
      <c r="D994" s="97">
        <v>0</v>
      </c>
      <c r="E994" s="97">
        <v>0</v>
      </c>
      <c r="F994" s="97">
        <v>500</v>
      </c>
      <c r="G994" s="97" t="s">
        <v>147</v>
      </c>
      <c r="H994" s="97" t="s">
        <v>149</v>
      </c>
    </row>
    <row r="995" spans="1:8">
      <c r="A995" s="97" t="s">
        <v>96</v>
      </c>
      <c r="B995" s="97" t="s">
        <v>106</v>
      </c>
      <c r="C995" s="97" t="s">
        <v>12</v>
      </c>
      <c r="D995" s="97">
        <v>300</v>
      </c>
      <c r="E995" s="97">
        <v>0</v>
      </c>
      <c r="F995" s="97">
        <v>1500</v>
      </c>
      <c r="G995" s="97" t="s">
        <v>24</v>
      </c>
      <c r="H995" s="97" t="s">
        <v>4</v>
      </c>
    </row>
    <row r="996" spans="1:8">
      <c r="A996" s="97" t="s">
        <v>96</v>
      </c>
      <c r="B996" s="97" t="s">
        <v>106</v>
      </c>
      <c r="C996" s="97" t="s">
        <v>12</v>
      </c>
      <c r="D996" s="97">
        <v>300</v>
      </c>
      <c r="E996" s="97">
        <v>0</v>
      </c>
      <c r="F996" s="97">
        <v>1500</v>
      </c>
      <c r="G996" s="97" t="s">
        <v>25</v>
      </c>
      <c r="H996" s="97" t="s">
        <v>4</v>
      </c>
    </row>
    <row r="997" spans="1:8">
      <c r="A997" s="97" t="s">
        <v>96</v>
      </c>
      <c r="B997" s="97" t="s">
        <v>106</v>
      </c>
      <c r="C997" s="97" t="s">
        <v>12</v>
      </c>
      <c r="D997" s="97">
        <v>300</v>
      </c>
      <c r="E997" s="97">
        <v>0</v>
      </c>
      <c r="F997" s="97">
        <v>1500</v>
      </c>
      <c r="G997" s="97" t="s">
        <v>26</v>
      </c>
      <c r="H997" s="97" t="s">
        <v>10</v>
      </c>
    </row>
    <row r="998" spans="1:8">
      <c r="A998" s="97" t="s">
        <v>96</v>
      </c>
      <c r="B998" s="97" t="s">
        <v>106</v>
      </c>
      <c r="C998" s="97" t="s">
        <v>12</v>
      </c>
      <c r="D998" s="97">
        <v>300</v>
      </c>
      <c r="E998" s="97">
        <v>0</v>
      </c>
      <c r="F998" s="97">
        <v>1500</v>
      </c>
      <c r="G998" s="97" t="s">
        <v>27</v>
      </c>
      <c r="H998" s="97" t="s">
        <v>10</v>
      </c>
    </row>
    <row r="999" spans="1:8">
      <c r="A999" s="97" t="s">
        <v>96</v>
      </c>
      <c r="B999" s="97" t="s">
        <v>106</v>
      </c>
      <c r="C999" s="97" t="s">
        <v>12</v>
      </c>
      <c r="D999" s="97">
        <v>300</v>
      </c>
      <c r="E999" s="97">
        <v>0</v>
      </c>
      <c r="F999" s="97">
        <v>1500</v>
      </c>
      <c r="G999" s="97" t="s">
        <v>28</v>
      </c>
      <c r="H999" s="97" t="s">
        <v>4</v>
      </c>
    </row>
    <row r="1000" spans="1:8">
      <c r="A1000" s="97" t="s">
        <v>96</v>
      </c>
      <c r="B1000" s="97" t="s">
        <v>106</v>
      </c>
      <c r="C1000" s="97" t="s">
        <v>12</v>
      </c>
      <c r="D1000" s="97">
        <v>300</v>
      </c>
      <c r="E1000" s="97">
        <v>0</v>
      </c>
      <c r="F1000" s="97">
        <v>1500</v>
      </c>
      <c r="G1000" s="97" t="s">
        <v>29</v>
      </c>
      <c r="H1000" s="97" t="s">
        <v>6</v>
      </c>
    </row>
    <row r="1001" spans="1:8">
      <c r="A1001" s="97" t="s">
        <v>96</v>
      </c>
      <c r="B1001" s="97" t="s">
        <v>106</v>
      </c>
      <c r="C1001" s="97" t="s">
        <v>12</v>
      </c>
      <c r="D1001" s="97">
        <v>300</v>
      </c>
      <c r="E1001" s="97">
        <v>0</v>
      </c>
      <c r="F1001" s="97">
        <v>1500</v>
      </c>
      <c r="G1001" s="97" t="s">
        <v>30</v>
      </c>
      <c r="H1001" s="97" t="s">
        <v>4</v>
      </c>
    </row>
    <row r="1002" spans="1:8">
      <c r="A1002" s="97" t="s">
        <v>96</v>
      </c>
      <c r="B1002" s="97" t="s">
        <v>106</v>
      </c>
      <c r="C1002" s="97" t="s">
        <v>12</v>
      </c>
      <c r="D1002" s="97">
        <v>300</v>
      </c>
      <c r="E1002" s="97">
        <v>0</v>
      </c>
      <c r="F1002" s="97">
        <v>1500</v>
      </c>
      <c r="G1002" s="97" t="s">
        <v>31</v>
      </c>
      <c r="H1002" s="97" t="s">
        <v>4</v>
      </c>
    </row>
    <row r="1003" spans="1:8">
      <c r="A1003" s="97" t="s">
        <v>96</v>
      </c>
      <c r="B1003" s="97" t="s">
        <v>106</v>
      </c>
      <c r="C1003" s="97" t="s">
        <v>12</v>
      </c>
      <c r="D1003" s="97">
        <v>300</v>
      </c>
      <c r="E1003" s="97">
        <v>0</v>
      </c>
      <c r="F1003" s="97">
        <v>1500</v>
      </c>
      <c r="G1003" s="97" t="s">
        <v>32</v>
      </c>
      <c r="H1003" s="97" t="s">
        <v>4</v>
      </c>
    </row>
    <row r="1004" spans="1:8">
      <c r="A1004" s="97" t="s">
        <v>96</v>
      </c>
      <c r="B1004" s="97" t="s">
        <v>106</v>
      </c>
      <c r="C1004" s="97" t="s">
        <v>12</v>
      </c>
      <c r="D1004" s="97">
        <v>300</v>
      </c>
      <c r="E1004" s="97">
        <v>0</v>
      </c>
      <c r="F1004" s="97">
        <v>1500</v>
      </c>
      <c r="G1004" s="97" t="s">
        <v>33</v>
      </c>
      <c r="H1004" s="97" t="s">
        <v>10</v>
      </c>
    </row>
    <row r="1005" spans="1:8">
      <c r="A1005" s="97" t="s">
        <v>96</v>
      </c>
      <c r="B1005" s="97" t="s">
        <v>106</v>
      </c>
      <c r="C1005" s="97" t="s">
        <v>12</v>
      </c>
      <c r="D1005" s="97">
        <v>300</v>
      </c>
      <c r="E1005" s="97">
        <v>0</v>
      </c>
      <c r="F1005" s="97">
        <v>1500</v>
      </c>
      <c r="G1005" s="97" t="s">
        <v>34</v>
      </c>
      <c r="H1005" s="97" t="s">
        <v>4</v>
      </c>
    </row>
    <row r="1006" spans="1:8">
      <c r="A1006" s="97" t="s">
        <v>96</v>
      </c>
      <c r="B1006" s="97" t="s">
        <v>106</v>
      </c>
      <c r="C1006" s="97" t="s">
        <v>12</v>
      </c>
      <c r="D1006" s="97">
        <v>300</v>
      </c>
      <c r="E1006" s="97">
        <v>0</v>
      </c>
      <c r="F1006" s="97">
        <v>1500</v>
      </c>
      <c r="G1006" s="97" t="s">
        <v>129</v>
      </c>
      <c r="H1006" s="97">
        <v>1800</v>
      </c>
    </row>
    <row r="1007" spans="1:8">
      <c r="A1007" s="97" t="s">
        <v>96</v>
      </c>
      <c r="B1007" s="97" t="s">
        <v>106</v>
      </c>
      <c r="C1007" s="97" t="s">
        <v>12</v>
      </c>
      <c r="D1007" s="97">
        <v>300</v>
      </c>
      <c r="E1007" s="97">
        <v>0</v>
      </c>
      <c r="F1007" s="97">
        <v>1500</v>
      </c>
      <c r="G1007" s="97" t="s">
        <v>132</v>
      </c>
      <c r="H1007" s="97">
        <v>3</v>
      </c>
    </row>
    <row r="1008" spans="1:8">
      <c r="A1008" s="97" t="s">
        <v>96</v>
      </c>
      <c r="B1008" s="97" t="s">
        <v>106</v>
      </c>
      <c r="C1008" s="97" t="s">
        <v>12</v>
      </c>
      <c r="D1008" s="97">
        <v>300</v>
      </c>
      <c r="E1008" s="97">
        <v>0</v>
      </c>
      <c r="F1008" s="97">
        <v>1500</v>
      </c>
      <c r="G1008" s="97" t="s">
        <v>147</v>
      </c>
      <c r="H1008" s="97" t="s">
        <v>149</v>
      </c>
    </row>
    <row r="1009" spans="1:8">
      <c r="A1009" s="97" t="s">
        <v>37</v>
      </c>
      <c r="B1009" s="97" t="s">
        <v>106</v>
      </c>
      <c r="C1009" s="97" t="s">
        <v>16</v>
      </c>
      <c r="D1009" s="97">
        <v>0</v>
      </c>
      <c r="E1009" s="97">
        <v>0</v>
      </c>
      <c r="F1009" s="97">
        <v>0</v>
      </c>
      <c r="G1009" s="97" t="s">
        <v>24</v>
      </c>
      <c r="H1009" s="97" t="s">
        <v>4</v>
      </c>
    </row>
    <row r="1010" spans="1:8">
      <c r="A1010" s="97" t="s">
        <v>37</v>
      </c>
      <c r="B1010" s="97" t="s">
        <v>106</v>
      </c>
      <c r="C1010" s="97" t="s">
        <v>16</v>
      </c>
      <c r="D1010" s="97">
        <v>0</v>
      </c>
      <c r="E1010" s="97">
        <v>0</v>
      </c>
      <c r="F1010" s="97">
        <v>0</v>
      </c>
      <c r="G1010" s="97" t="s">
        <v>25</v>
      </c>
      <c r="H1010" s="97" t="s">
        <v>4</v>
      </c>
    </row>
    <row r="1011" spans="1:8">
      <c r="A1011" s="97" t="s">
        <v>37</v>
      </c>
      <c r="B1011" s="97" t="s">
        <v>106</v>
      </c>
      <c r="C1011" s="97" t="s">
        <v>16</v>
      </c>
      <c r="D1011" s="97">
        <v>0</v>
      </c>
      <c r="E1011" s="97">
        <v>0</v>
      </c>
      <c r="F1011" s="97">
        <v>0</v>
      </c>
      <c r="G1011" s="97" t="s">
        <v>26</v>
      </c>
      <c r="H1011" s="97" t="s">
        <v>4</v>
      </c>
    </row>
    <row r="1012" spans="1:8">
      <c r="A1012" s="97" t="s">
        <v>37</v>
      </c>
      <c r="B1012" s="97" t="s">
        <v>106</v>
      </c>
      <c r="C1012" s="97" t="s">
        <v>16</v>
      </c>
      <c r="D1012" s="97">
        <v>0</v>
      </c>
      <c r="E1012" s="97">
        <v>0</v>
      </c>
      <c r="F1012" s="97">
        <v>0</v>
      </c>
      <c r="G1012" s="97" t="s">
        <v>27</v>
      </c>
      <c r="H1012" s="97" t="s">
        <v>4</v>
      </c>
    </row>
    <row r="1013" spans="1:8">
      <c r="A1013" s="97" t="s">
        <v>37</v>
      </c>
      <c r="B1013" s="97" t="s">
        <v>106</v>
      </c>
      <c r="C1013" s="97" t="s">
        <v>16</v>
      </c>
      <c r="D1013" s="97">
        <v>0</v>
      </c>
      <c r="E1013" s="97">
        <v>0</v>
      </c>
      <c r="F1013" s="97">
        <v>0</v>
      </c>
      <c r="G1013" s="97" t="s">
        <v>28</v>
      </c>
      <c r="H1013" s="97" t="s">
        <v>4</v>
      </c>
    </row>
    <row r="1014" spans="1:8">
      <c r="A1014" s="97" t="s">
        <v>37</v>
      </c>
      <c r="B1014" s="97" t="s">
        <v>106</v>
      </c>
      <c r="C1014" s="97" t="s">
        <v>16</v>
      </c>
      <c r="D1014" s="97">
        <v>0</v>
      </c>
      <c r="E1014" s="97">
        <v>0</v>
      </c>
      <c r="F1014" s="97">
        <v>0</v>
      </c>
      <c r="G1014" s="97" t="s">
        <v>29</v>
      </c>
      <c r="H1014" s="97" t="s">
        <v>4</v>
      </c>
    </row>
    <row r="1015" spans="1:8">
      <c r="A1015" s="97" t="s">
        <v>37</v>
      </c>
      <c r="B1015" s="97" t="s">
        <v>106</v>
      </c>
      <c r="C1015" s="97" t="s">
        <v>16</v>
      </c>
      <c r="D1015" s="97">
        <v>0</v>
      </c>
      <c r="E1015" s="97">
        <v>0</v>
      </c>
      <c r="F1015" s="97">
        <v>0</v>
      </c>
      <c r="G1015" s="97" t="s">
        <v>30</v>
      </c>
      <c r="H1015" s="97" t="s">
        <v>4</v>
      </c>
    </row>
    <row r="1016" spans="1:8">
      <c r="A1016" s="97" t="s">
        <v>37</v>
      </c>
      <c r="B1016" s="97" t="s">
        <v>106</v>
      </c>
      <c r="C1016" s="97" t="s">
        <v>16</v>
      </c>
      <c r="D1016" s="97">
        <v>0</v>
      </c>
      <c r="E1016" s="97">
        <v>0</v>
      </c>
      <c r="F1016" s="97">
        <v>0</v>
      </c>
      <c r="G1016" s="97" t="s">
        <v>31</v>
      </c>
      <c r="H1016" s="97" t="s">
        <v>4</v>
      </c>
    </row>
    <row r="1017" spans="1:8">
      <c r="A1017" s="97" t="s">
        <v>37</v>
      </c>
      <c r="B1017" s="97" t="s">
        <v>106</v>
      </c>
      <c r="C1017" s="97" t="s">
        <v>16</v>
      </c>
      <c r="D1017" s="97">
        <v>0</v>
      </c>
      <c r="E1017" s="97">
        <v>0</v>
      </c>
      <c r="F1017" s="97">
        <v>0</v>
      </c>
      <c r="G1017" s="97" t="s">
        <v>32</v>
      </c>
      <c r="H1017" s="97" t="s">
        <v>8</v>
      </c>
    </row>
    <row r="1018" spans="1:8">
      <c r="A1018" s="97" t="s">
        <v>37</v>
      </c>
      <c r="B1018" s="97" t="s">
        <v>106</v>
      </c>
      <c r="C1018" s="97" t="s">
        <v>16</v>
      </c>
      <c r="D1018" s="97">
        <v>0</v>
      </c>
      <c r="E1018" s="97">
        <v>0</v>
      </c>
      <c r="F1018" s="97">
        <v>0</v>
      </c>
      <c r="G1018" s="97" t="s">
        <v>33</v>
      </c>
      <c r="H1018" s="97" t="s">
        <v>4</v>
      </c>
    </row>
    <row r="1019" spans="1:8">
      <c r="A1019" s="97" t="s">
        <v>37</v>
      </c>
      <c r="B1019" s="97" t="s">
        <v>106</v>
      </c>
      <c r="C1019" s="97" t="s">
        <v>16</v>
      </c>
      <c r="D1019" s="97">
        <v>0</v>
      </c>
      <c r="E1019" s="97">
        <v>0</v>
      </c>
      <c r="F1019" s="97">
        <v>0</v>
      </c>
      <c r="G1019" s="97" t="s">
        <v>34</v>
      </c>
      <c r="H1019" s="97" t="s">
        <v>4</v>
      </c>
    </row>
    <row r="1020" spans="1:8">
      <c r="A1020" s="97" t="s">
        <v>37</v>
      </c>
      <c r="B1020" s="97" t="s">
        <v>106</v>
      </c>
      <c r="C1020" s="97" t="s">
        <v>16</v>
      </c>
      <c r="D1020" s="97">
        <v>0</v>
      </c>
      <c r="E1020" s="97">
        <v>0</v>
      </c>
      <c r="F1020" s="97">
        <v>0</v>
      </c>
      <c r="G1020" s="97" t="s">
        <v>129</v>
      </c>
      <c r="H1020" s="97">
        <v>0</v>
      </c>
    </row>
    <row r="1021" spans="1:8">
      <c r="A1021" s="97" t="s">
        <v>37</v>
      </c>
      <c r="B1021" s="97" t="s">
        <v>106</v>
      </c>
      <c r="C1021" s="97" t="s">
        <v>16</v>
      </c>
      <c r="D1021" s="97">
        <v>0</v>
      </c>
      <c r="E1021" s="97">
        <v>0</v>
      </c>
      <c r="F1021" s="97">
        <v>0</v>
      </c>
      <c r="G1021" s="97" t="s">
        <v>132</v>
      </c>
      <c r="H1021" s="97">
        <v>0</v>
      </c>
    </row>
    <row r="1022" spans="1:8">
      <c r="A1022" s="97" t="s">
        <v>37</v>
      </c>
      <c r="B1022" s="97" t="s">
        <v>106</v>
      </c>
      <c r="C1022" s="97" t="s">
        <v>16</v>
      </c>
      <c r="D1022" s="97">
        <v>0</v>
      </c>
      <c r="E1022" s="97">
        <v>0</v>
      </c>
      <c r="F1022" s="97">
        <v>0</v>
      </c>
      <c r="G1022" s="97" t="s">
        <v>147</v>
      </c>
      <c r="H1022" s="97" t="s">
        <v>148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9"/>
  <sheetViews>
    <sheetView tabSelected="1" topLeftCell="H7" zoomScale="85" zoomScaleNormal="85" workbookViewId="0">
      <selection activeCell="V68" sqref="V68"/>
    </sheetView>
  </sheetViews>
  <sheetFormatPr defaultRowHeight="12.75"/>
  <cols>
    <col min="1" max="1" width="13.42578125" customWidth="1"/>
    <col min="2" max="2" width="13.28515625" bestFit="1" customWidth="1"/>
    <col min="3" max="3" width="4.85546875" bestFit="1" customWidth="1"/>
    <col min="4" max="4" width="5.85546875" bestFit="1" customWidth="1"/>
    <col min="5" max="5" width="4.85546875" bestFit="1" customWidth="1"/>
    <col min="6" max="6" width="10.5703125" bestFit="1" customWidth="1"/>
    <col min="7" max="7" width="27.140625" bestFit="1" customWidth="1"/>
    <col min="8" max="8" width="11.140625" bestFit="1" customWidth="1"/>
    <col min="9" max="9" width="14.5703125" customWidth="1"/>
    <col min="10" max="10" width="13.28515625" customWidth="1"/>
    <col min="11" max="13" width="7.42578125" customWidth="1"/>
    <col min="14" max="14" width="10.5703125" bestFit="1" customWidth="1"/>
    <col min="16" max="16" width="18.85546875" bestFit="1" customWidth="1"/>
    <col min="17" max="17" width="10.140625" customWidth="1"/>
    <col min="19" max="19" width="14.140625" customWidth="1"/>
  </cols>
  <sheetData>
    <row r="1" spans="1:20">
      <c r="A1" s="136" t="s">
        <v>105</v>
      </c>
      <c r="B1" s="136" t="s">
        <v>119</v>
      </c>
      <c r="C1" s="149"/>
      <c r="D1" s="149"/>
      <c r="E1" s="149"/>
      <c r="F1" s="149"/>
    </row>
    <row r="2" spans="1:20">
      <c r="A2" s="150"/>
      <c r="B2" s="149"/>
      <c r="C2" s="150"/>
      <c r="D2" s="149"/>
      <c r="E2" s="149"/>
      <c r="F2" s="149"/>
    </row>
    <row r="3" spans="1:20">
      <c r="A3" s="137" t="s">
        <v>120</v>
      </c>
      <c r="B3" s="147" t="s">
        <v>122</v>
      </c>
      <c r="C3" s="138"/>
      <c r="D3" s="138"/>
      <c r="E3" s="138"/>
      <c r="F3" s="139"/>
    </row>
    <row r="4" spans="1:20">
      <c r="A4" s="137" t="s">
        <v>23</v>
      </c>
      <c r="B4" s="98" t="s">
        <v>8</v>
      </c>
      <c r="C4" s="99" t="s">
        <v>6</v>
      </c>
      <c r="D4" s="99" t="s">
        <v>4</v>
      </c>
      <c r="E4" s="99" t="s">
        <v>10</v>
      </c>
      <c r="F4" s="140" t="s">
        <v>104</v>
      </c>
      <c r="G4" s="143"/>
      <c r="H4" s="190"/>
      <c r="I4" s="93" t="s">
        <v>120</v>
      </c>
      <c r="J4" s="112" t="s">
        <v>122</v>
      </c>
      <c r="K4" s="62"/>
      <c r="L4" s="62"/>
      <c r="M4" s="62"/>
      <c r="N4" s="63"/>
      <c r="P4" s="143" t="s">
        <v>138</v>
      </c>
      <c r="S4" s="143" t="s">
        <v>143</v>
      </c>
      <c r="T4" s="190"/>
    </row>
    <row r="5" spans="1:20">
      <c r="A5" s="141" t="s">
        <v>76</v>
      </c>
      <c r="B5" s="98">
        <v>0</v>
      </c>
      <c r="C5" s="99">
        <v>0</v>
      </c>
      <c r="D5" s="99">
        <v>0.81818181818181823</v>
      </c>
      <c r="E5" s="99">
        <v>0.18181818181818182</v>
      </c>
      <c r="F5" s="100">
        <v>1</v>
      </c>
      <c r="G5" s="143"/>
      <c r="H5" s="143"/>
      <c r="I5" s="112" t="s">
        <v>121</v>
      </c>
      <c r="J5" s="105" t="s">
        <v>8</v>
      </c>
      <c r="K5" s="113" t="s">
        <v>6</v>
      </c>
      <c r="L5" s="113" t="s">
        <v>4</v>
      </c>
      <c r="M5" s="113" t="s">
        <v>10</v>
      </c>
      <c r="N5" s="65" t="s">
        <v>104</v>
      </c>
      <c r="P5" s="186" t="s">
        <v>135</v>
      </c>
      <c r="Q5" s="186" t="s">
        <v>136</v>
      </c>
      <c r="R5" s="143" t="s">
        <v>142</v>
      </c>
      <c r="S5" s="143" t="s">
        <v>23</v>
      </c>
      <c r="T5" s="143" t="s">
        <v>144</v>
      </c>
    </row>
    <row r="6" spans="1:20">
      <c r="A6" s="142" t="s">
        <v>67</v>
      </c>
      <c r="B6" s="101">
        <v>9.0909090909090912E-2</v>
      </c>
      <c r="C6" s="102">
        <v>0</v>
      </c>
      <c r="D6" s="102">
        <v>0.90909090909090906</v>
      </c>
      <c r="E6" s="102">
        <v>0</v>
      </c>
      <c r="F6" s="103">
        <v>1</v>
      </c>
      <c r="G6" s="141"/>
      <c r="H6" s="99"/>
      <c r="I6" s="91" t="s">
        <v>33</v>
      </c>
      <c r="J6" s="125">
        <v>6.8493150684931503E-2</v>
      </c>
      <c r="K6" s="126">
        <v>2.7397260273972601E-2</v>
      </c>
      <c r="L6" s="126">
        <v>0.72602739726027399</v>
      </c>
      <c r="M6" s="126">
        <v>0.17808219178082191</v>
      </c>
      <c r="N6" s="127">
        <v>1</v>
      </c>
      <c r="P6" s="143" t="s">
        <v>137</v>
      </c>
      <c r="Q6" s="149">
        <f>AVERAGE(D5:D77)</f>
        <v>0.73325031133250262</v>
      </c>
      <c r="R6" t="str">
        <f t="shared" ref="R6:R69" si="0">IF(ABS(D5-$Q$6)&gt;1.5*$Q$9,"Yes","No")</f>
        <v>No</v>
      </c>
      <c r="S6" s="141" t="s">
        <v>76</v>
      </c>
      <c r="T6" s="99">
        <v>0.81818181818181823</v>
      </c>
    </row>
    <row r="7" spans="1:20">
      <c r="A7" s="142" t="s">
        <v>40</v>
      </c>
      <c r="B7" s="101">
        <v>9.0909090909090912E-2</v>
      </c>
      <c r="C7" s="102">
        <v>0</v>
      </c>
      <c r="D7" s="102">
        <v>0.72727272727272729</v>
      </c>
      <c r="E7" s="102">
        <v>0.18181818181818182</v>
      </c>
      <c r="F7" s="103">
        <v>1</v>
      </c>
      <c r="G7" s="142"/>
      <c r="H7" s="102"/>
      <c r="I7" s="92" t="s">
        <v>34</v>
      </c>
      <c r="J7" s="128">
        <v>5.4794520547945202E-2</v>
      </c>
      <c r="K7" s="129">
        <v>4.1095890410958902E-2</v>
      </c>
      <c r="L7" s="129">
        <v>0.72602739726027399</v>
      </c>
      <c r="M7" s="129">
        <v>0.17808219178082191</v>
      </c>
      <c r="N7" s="130">
        <v>1</v>
      </c>
      <c r="P7" s="143" t="s">
        <v>139</v>
      </c>
      <c r="Q7" s="149">
        <f>MEDIAN(D5:D77)</f>
        <v>0.8</v>
      </c>
      <c r="R7" t="str">
        <f t="shared" si="0"/>
        <v>No</v>
      </c>
      <c r="S7" s="142" t="s">
        <v>67</v>
      </c>
      <c r="T7" s="102">
        <v>0.90909090909090906</v>
      </c>
    </row>
    <row r="8" spans="1:20">
      <c r="A8" s="142" t="s">
        <v>52</v>
      </c>
      <c r="B8" s="101">
        <v>9.0909090909090912E-2</v>
      </c>
      <c r="C8" s="102">
        <v>9.0909090909090912E-2</v>
      </c>
      <c r="D8" s="102">
        <v>0.45454545454545453</v>
      </c>
      <c r="E8" s="102">
        <v>0.36363636363636365</v>
      </c>
      <c r="F8" s="103">
        <v>1</v>
      </c>
      <c r="G8" s="142"/>
      <c r="H8" s="102"/>
      <c r="I8" s="92" t="s">
        <v>32</v>
      </c>
      <c r="J8" s="128">
        <v>8.3333333333333329E-2</v>
      </c>
      <c r="K8" s="129">
        <v>5.5555555555555552E-2</v>
      </c>
      <c r="L8" s="129">
        <v>0.73611111111111116</v>
      </c>
      <c r="M8" s="129">
        <v>0.125</v>
      </c>
      <c r="N8" s="130">
        <v>1</v>
      </c>
      <c r="P8" s="143" t="s">
        <v>140</v>
      </c>
      <c r="Q8" s="149">
        <f>_xlfn.MODE.SNGL(D5:D77)</f>
        <v>0.90909090909090906</v>
      </c>
      <c r="R8" t="str">
        <f t="shared" si="0"/>
        <v>No</v>
      </c>
      <c r="S8" s="142" t="s">
        <v>40</v>
      </c>
      <c r="T8" s="102">
        <v>0.72727272727272729</v>
      </c>
    </row>
    <row r="9" spans="1:20">
      <c r="A9" s="142" t="s">
        <v>114</v>
      </c>
      <c r="B9" s="101">
        <v>9.0909090909090912E-2</v>
      </c>
      <c r="C9" s="102">
        <v>0</v>
      </c>
      <c r="D9" s="102">
        <v>0.36363636363636365</v>
      </c>
      <c r="E9" s="102">
        <v>0.54545454545454541</v>
      </c>
      <c r="F9" s="103">
        <v>1</v>
      </c>
      <c r="G9" s="142"/>
      <c r="H9" s="102"/>
      <c r="I9" s="92" t="s">
        <v>29</v>
      </c>
      <c r="J9" s="128">
        <v>0.12328767123287671</v>
      </c>
      <c r="K9" s="129">
        <v>0.13698630136986301</v>
      </c>
      <c r="L9" s="129">
        <v>0.65753424657534243</v>
      </c>
      <c r="M9" s="129">
        <v>8.2191780821917804E-2</v>
      </c>
      <c r="N9" s="130">
        <v>1</v>
      </c>
      <c r="P9" s="143" t="s">
        <v>141</v>
      </c>
      <c r="Q9" s="149">
        <f>_xlfn.STDEV.S(D5:D77)</f>
        <v>0.2033704702238027</v>
      </c>
      <c r="R9" t="str">
        <f t="shared" si="0"/>
        <v>No</v>
      </c>
      <c r="S9" s="142" t="s">
        <v>52</v>
      </c>
      <c r="T9" s="102">
        <v>0.45454545454545453</v>
      </c>
    </row>
    <row r="10" spans="1:20">
      <c r="A10" s="142" t="s">
        <v>45</v>
      </c>
      <c r="B10" s="101">
        <v>9.0909090909090912E-2</v>
      </c>
      <c r="C10" s="102">
        <v>0.45454545454545453</v>
      </c>
      <c r="D10" s="102">
        <v>0.45454545454545453</v>
      </c>
      <c r="E10" s="102">
        <v>0</v>
      </c>
      <c r="F10" s="103">
        <v>1</v>
      </c>
      <c r="G10" s="142"/>
      <c r="H10" s="102"/>
      <c r="I10" s="92" t="s">
        <v>30</v>
      </c>
      <c r="J10" s="128">
        <v>0</v>
      </c>
      <c r="K10" s="129">
        <v>5.4794520547945202E-2</v>
      </c>
      <c r="L10" s="129">
        <v>0.84931506849315064</v>
      </c>
      <c r="M10" s="129">
        <v>9.5890410958904104E-2</v>
      </c>
      <c r="N10" s="130">
        <v>1</v>
      </c>
      <c r="Q10" s="149"/>
      <c r="R10" s="190" t="str">
        <f t="shared" si="0"/>
        <v>Yes</v>
      </c>
      <c r="S10" s="142" t="s">
        <v>114</v>
      </c>
      <c r="T10" s="102">
        <v>0.36363636363636365</v>
      </c>
    </row>
    <row r="11" spans="1:20">
      <c r="A11" s="142" t="s">
        <v>83</v>
      </c>
      <c r="B11" s="101">
        <v>9.0909090909090912E-2</v>
      </c>
      <c r="C11" s="102">
        <v>0</v>
      </c>
      <c r="D11" s="102">
        <v>0.90909090909090906</v>
      </c>
      <c r="E11" s="102">
        <v>0</v>
      </c>
      <c r="F11" s="103">
        <v>1</v>
      </c>
      <c r="G11" s="142"/>
      <c r="H11" s="102"/>
      <c r="I11" s="92" t="s">
        <v>31</v>
      </c>
      <c r="J11" s="128">
        <v>5.4794520547945202E-2</v>
      </c>
      <c r="K11" s="129">
        <v>6.8493150684931503E-2</v>
      </c>
      <c r="L11" s="129">
        <v>0.64383561643835618</v>
      </c>
      <c r="M11" s="129">
        <v>0.23287671232876711</v>
      </c>
      <c r="N11" s="130">
        <v>1</v>
      </c>
      <c r="Q11" s="149"/>
      <c r="R11" s="190" t="str">
        <f t="shared" si="0"/>
        <v>No</v>
      </c>
      <c r="S11" s="142" t="s">
        <v>45</v>
      </c>
      <c r="T11" s="102">
        <v>0.45454545454545453</v>
      </c>
    </row>
    <row r="12" spans="1:20">
      <c r="A12" s="142" t="s">
        <v>94</v>
      </c>
      <c r="B12" s="101">
        <v>0</v>
      </c>
      <c r="C12" s="102">
        <v>0</v>
      </c>
      <c r="D12" s="102">
        <v>0.81818181818181823</v>
      </c>
      <c r="E12" s="102">
        <v>0.18181818181818182</v>
      </c>
      <c r="F12" s="103">
        <v>1</v>
      </c>
      <c r="G12" s="142"/>
      <c r="H12" s="102"/>
      <c r="I12" s="92" t="s">
        <v>28</v>
      </c>
      <c r="J12" s="128">
        <v>4.1095890410958902E-2</v>
      </c>
      <c r="K12" s="129">
        <v>9.5890410958904104E-2</v>
      </c>
      <c r="L12" s="129">
        <v>0.73972602739726023</v>
      </c>
      <c r="M12" s="129">
        <v>0.12328767123287671</v>
      </c>
      <c r="N12" s="130">
        <v>1</v>
      </c>
      <c r="P12" s="190"/>
      <c r="Q12" s="149"/>
      <c r="R12" s="190" t="str">
        <f t="shared" si="0"/>
        <v>No</v>
      </c>
      <c r="S12" s="142" t="s">
        <v>83</v>
      </c>
      <c r="T12" s="102">
        <v>0.90909090909090906</v>
      </c>
    </row>
    <row r="13" spans="1:20">
      <c r="A13" s="148" t="s">
        <v>81</v>
      </c>
      <c r="B13" s="101">
        <v>0</v>
      </c>
      <c r="C13" s="102">
        <v>0</v>
      </c>
      <c r="D13" s="102">
        <v>1</v>
      </c>
      <c r="E13" s="102">
        <v>0</v>
      </c>
      <c r="F13" s="103">
        <v>1</v>
      </c>
      <c r="G13" s="142"/>
      <c r="H13" s="102"/>
      <c r="I13" s="92" t="s">
        <v>24</v>
      </c>
      <c r="J13" s="128">
        <v>0</v>
      </c>
      <c r="K13" s="129">
        <v>5.4794520547945202E-2</v>
      </c>
      <c r="L13" s="129">
        <v>0.84931506849315064</v>
      </c>
      <c r="M13" s="129">
        <v>9.5890410958904104E-2</v>
      </c>
      <c r="N13" s="130">
        <v>1</v>
      </c>
      <c r="P13" s="190"/>
      <c r="Q13" s="149"/>
      <c r="R13" s="190" t="str">
        <f t="shared" si="0"/>
        <v>No</v>
      </c>
      <c r="S13" s="142" t="s">
        <v>94</v>
      </c>
      <c r="T13" s="102">
        <v>0.81818181818181823</v>
      </c>
    </row>
    <row r="14" spans="1:20">
      <c r="A14" s="142" t="s">
        <v>46</v>
      </c>
      <c r="B14" s="101">
        <v>9.0909090909090912E-2</v>
      </c>
      <c r="C14" s="102">
        <v>0</v>
      </c>
      <c r="D14" s="102">
        <v>0.63636363636363635</v>
      </c>
      <c r="E14" s="102">
        <v>0.27272727272727271</v>
      </c>
      <c r="F14" s="103">
        <v>1</v>
      </c>
      <c r="G14" s="148"/>
      <c r="H14" s="102"/>
      <c r="I14" s="92" t="s">
        <v>25</v>
      </c>
      <c r="J14" s="128">
        <v>1.3698630136986301E-2</v>
      </c>
      <c r="K14" s="129">
        <v>8.2191780821917804E-2</v>
      </c>
      <c r="L14" s="129">
        <v>0.69863013698630139</v>
      </c>
      <c r="M14" s="129">
        <v>0.20547945205479451</v>
      </c>
      <c r="N14" s="130">
        <v>1</v>
      </c>
      <c r="P14" s="190"/>
      <c r="Q14" s="149"/>
      <c r="R14" s="190" t="str">
        <f t="shared" si="0"/>
        <v>No</v>
      </c>
      <c r="S14" s="148" t="s">
        <v>81</v>
      </c>
      <c r="T14" s="102">
        <v>1</v>
      </c>
    </row>
    <row r="15" spans="1:20">
      <c r="A15" s="142" t="s">
        <v>80</v>
      </c>
      <c r="B15" s="101">
        <v>0</v>
      </c>
      <c r="C15" s="102">
        <v>0</v>
      </c>
      <c r="D15" s="102">
        <v>1</v>
      </c>
      <c r="E15" s="102">
        <v>0</v>
      </c>
      <c r="F15" s="103">
        <v>1</v>
      </c>
      <c r="G15" s="142"/>
      <c r="H15" s="102"/>
      <c r="I15" s="92" t="s">
        <v>26</v>
      </c>
      <c r="J15" s="128">
        <v>1.3698630136986301E-2</v>
      </c>
      <c r="K15" s="129">
        <v>1.3698630136986301E-2</v>
      </c>
      <c r="L15" s="129">
        <v>0.73972602739726023</v>
      </c>
      <c r="M15" s="129">
        <v>0.23287671232876711</v>
      </c>
      <c r="N15" s="130">
        <v>1</v>
      </c>
      <c r="P15" s="190"/>
      <c r="Q15" s="149"/>
      <c r="R15" s="190" t="str">
        <f t="shared" si="0"/>
        <v>No</v>
      </c>
      <c r="S15" s="142" t="s">
        <v>46</v>
      </c>
      <c r="T15" s="102">
        <v>0.63636363636363635</v>
      </c>
    </row>
    <row r="16" spans="1:20">
      <c r="A16" s="142" t="s">
        <v>59</v>
      </c>
      <c r="B16" s="101">
        <v>0</v>
      </c>
      <c r="C16" s="102">
        <v>0.18181818181818182</v>
      </c>
      <c r="D16" s="102">
        <v>0.63636363636363635</v>
      </c>
      <c r="E16" s="102">
        <v>0.18181818181818182</v>
      </c>
      <c r="F16" s="103">
        <v>1</v>
      </c>
      <c r="G16" s="142"/>
      <c r="H16" s="102"/>
      <c r="I16" s="92" t="s">
        <v>27</v>
      </c>
      <c r="J16" s="128">
        <v>5.4794520547945202E-2</v>
      </c>
      <c r="K16" s="129">
        <v>6.8493150684931503E-2</v>
      </c>
      <c r="L16" s="129">
        <v>0.69863013698630139</v>
      </c>
      <c r="M16" s="129">
        <v>0.17808219178082191</v>
      </c>
      <c r="N16" s="130">
        <v>1</v>
      </c>
      <c r="P16" s="190"/>
      <c r="Q16" s="149"/>
      <c r="R16" s="190" t="str">
        <f t="shared" si="0"/>
        <v>No</v>
      </c>
      <c r="S16" s="142" t="s">
        <v>80</v>
      </c>
      <c r="T16" s="102">
        <v>1</v>
      </c>
    </row>
    <row r="17" spans="1:20">
      <c r="A17" s="142" t="s">
        <v>42</v>
      </c>
      <c r="B17" s="101">
        <v>0</v>
      </c>
      <c r="C17" s="102">
        <v>0</v>
      </c>
      <c r="D17" s="102">
        <v>1</v>
      </c>
      <c r="E17" s="102">
        <v>0</v>
      </c>
      <c r="F17" s="103">
        <v>1</v>
      </c>
      <c r="G17" s="142"/>
      <c r="H17" s="102"/>
      <c r="I17" s="124" t="s">
        <v>104</v>
      </c>
      <c r="J17" s="131">
        <v>4.6134663341645885E-2</v>
      </c>
      <c r="K17" s="132">
        <v>6.3591022443890269E-2</v>
      </c>
      <c r="L17" s="132">
        <v>0.73316708229426431</v>
      </c>
      <c r="M17" s="132">
        <v>0.15710723192019951</v>
      </c>
      <c r="N17" s="133">
        <v>1</v>
      </c>
      <c r="P17" s="190"/>
      <c r="Q17" s="149"/>
      <c r="R17" s="190" t="str">
        <f t="shared" si="0"/>
        <v>No</v>
      </c>
      <c r="S17" s="142" t="s">
        <v>59</v>
      </c>
      <c r="T17" s="102">
        <v>0.63636363636363635</v>
      </c>
    </row>
    <row r="18" spans="1:20">
      <c r="A18" s="142" t="s">
        <v>115</v>
      </c>
      <c r="B18" s="101">
        <v>0</v>
      </c>
      <c r="C18" s="102">
        <v>0</v>
      </c>
      <c r="D18" s="102">
        <v>0.81818181818181823</v>
      </c>
      <c r="E18" s="102">
        <v>0.18181818181818182</v>
      </c>
      <c r="F18" s="103">
        <v>1</v>
      </c>
      <c r="G18" s="142"/>
      <c r="H18" s="102"/>
      <c r="P18" s="190"/>
      <c r="Q18" s="149"/>
      <c r="R18" s="190" t="str">
        <f t="shared" si="0"/>
        <v>No</v>
      </c>
      <c r="S18" s="142" t="s">
        <v>42</v>
      </c>
      <c r="T18" s="102">
        <v>1</v>
      </c>
    </row>
    <row r="19" spans="1:20">
      <c r="A19" s="142" t="s">
        <v>92</v>
      </c>
      <c r="B19" s="101">
        <v>0</v>
      </c>
      <c r="C19" s="102">
        <v>0</v>
      </c>
      <c r="D19" s="102">
        <v>1</v>
      </c>
      <c r="E19" s="102">
        <v>0</v>
      </c>
      <c r="F19" s="103">
        <v>1</v>
      </c>
      <c r="G19" s="142"/>
      <c r="H19" s="102"/>
      <c r="P19" s="190"/>
      <c r="Q19" s="149"/>
      <c r="R19" s="190" t="str">
        <f t="shared" si="0"/>
        <v>No</v>
      </c>
      <c r="S19" s="142" t="s">
        <v>115</v>
      </c>
      <c r="T19" s="102">
        <v>0.81818181818181823</v>
      </c>
    </row>
    <row r="20" spans="1:20">
      <c r="A20" s="142" t="s">
        <v>50</v>
      </c>
      <c r="B20" s="101">
        <v>0</v>
      </c>
      <c r="C20" s="102">
        <v>9.0909090909090912E-2</v>
      </c>
      <c r="D20" s="102">
        <v>0.90909090909090906</v>
      </c>
      <c r="E20" s="102">
        <v>0</v>
      </c>
      <c r="F20" s="103">
        <v>1</v>
      </c>
      <c r="G20" s="142"/>
      <c r="H20" s="102"/>
      <c r="P20" s="190"/>
      <c r="Q20" s="149"/>
      <c r="R20" s="190" t="str">
        <f t="shared" si="0"/>
        <v>No</v>
      </c>
      <c r="S20" s="142" t="s">
        <v>92</v>
      </c>
      <c r="T20" s="102">
        <v>1</v>
      </c>
    </row>
    <row r="21" spans="1:20">
      <c r="A21" s="142" t="s">
        <v>78</v>
      </c>
      <c r="B21" s="101">
        <v>0</v>
      </c>
      <c r="C21" s="102">
        <v>0</v>
      </c>
      <c r="D21" s="102">
        <v>1</v>
      </c>
      <c r="E21" s="102">
        <v>0</v>
      </c>
      <c r="F21" s="103">
        <v>1</v>
      </c>
      <c r="G21" s="142"/>
      <c r="H21" s="102"/>
      <c r="P21" s="190"/>
      <c r="Q21" s="149"/>
      <c r="R21" s="190" t="str">
        <f t="shared" si="0"/>
        <v>No</v>
      </c>
      <c r="S21" s="142" t="s">
        <v>50</v>
      </c>
      <c r="T21" s="102">
        <v>0.90909090909090906</v>
      </c>
    </row>
    <row r="22" spans="1:20">
      <c r="A22" s="142" t="s">
        <v>57</v>
      </c>
      <c r="B22" s="101">
        <v>0</v>
      </c>
      <c r="C22" s="102">
        <v>0</v>
      </c>
      <c r="D22" s="102">
        <v>1</v>
      </c>
      <c r="E22" s="102">
        <v>0</v>
      </c>
      <c r="F22" s="103">
        <v>1</v>
      </c>
      <c r="G22" s="142"/>
      <c r="H22" s="102"/>
      <c r="P22" s="190"/>
      <c r="Q22" s="149"/>
      <c r="R22" s="190" t="str">
        <f t="shared" si="0"/>
        <v>No</v>
      </c>
      <c r="S22" s="142" t="s">
        <v>78</v>
      </c>
      <c r="T22" s="102">
        <v>1</v>
      </c>
    </row>
    <row r="23" spans="1:20">
      <c r="A23" s="142" t="s">
        <v>61</v>
      </c>
      <c r="B23" s="101">
        <v>9.0909090909090912E-2</v>
      </c>
      <c r="C23" s="102">
        <v>0.36363636363636365</v>
      </c>
      <c r="D23" s="102">
        <v>0.27272727272727271</v>
      </c>
      <c r="E23" s="102">
        <v>0.27272727272727271</v>
      </c>
      <c r="F23" s="103">
        <v>1</v>
      </c>
      <c r="G23" s="142"/>
      <c r="H23" s="102"/>
      <c r="P23" s="190"/>
      <c r="Q23" s="149"/>
      <c r="R23" s="190" t="str">
        <f t="shared" si="0"/>
        <v>No</v>
      </c>
      <c r="S23" s="142" t="s">
        <v>57</v>
      </c>
      <c r="T23" s="102">
        <v>1</v>
      </c>
    </row>
    <row r="24" spans="1:20">
      <c r="A24" s="142" t="s">
        <v>54</v>
      </c>
      <c r="B24" s="101">
        <v>9.0909090909090912E-2</v>
      </c>
      <c r="C24" s="102">
        <v>9.0909090909090912E-2</v>
      </c>
      <c r="D24" s="102">
        <v>0.54545454545454541</v>
      </c>
      <c r="E24" s="102">
        <v>0.27272727272727271</v>
      </c>
      <c r="F24" s="103">
        <v>1</v>
      </c>
      <c r="G24" s="142"/>
      <c r="H24" s="102"/>
      <c r="P24" s="190"/>
      <c r="Q24" s="149"/>
      <c r="R24" s="190" t="str">
        <f t="shared" si="0"/>
        <v>Yes</v>
      </c>
      <c r="S24" s="142" t="s">
        <v>61</v>
      </c>
      <c r="T24" s="102">
        <v>0.27272727272727271</v>
      </c>
    </row>
    <row r="25" spans="1:20">
      <c r="A25" s="142" t="s">
        <v>116</v>
      </c>
      <c r="B25" s="101">
        <v>0</v>
      </c>
      <c r="C25" s="102">
        <v>0</v>
      </c>
      <c r="D25" s="102">
        <v>1</v>
      </c>
      <c r="E25" s="102">
        <v>0</v>
      </c>
      <c r="F25" s="103">
        <v>1</v>
      </c>
      <c r="G25" s="142"/>
      <c r="H25" s="102"/>
      <c r="P25" s="190"/>
      <c r="Q25" s="149"/>
      <c r="R25" s="190" t="str">
        <f t="shared" si="0"/>
        <v>No</v>
      </c>
      <c r="S25" s="142" t="s">
        <v>54</v>
      </c>
      <c r="T25" s="102">
        <v>0.54545454545454541</v>
      </c>
    </row>
    <row r="26" spans="1:20">
      <c r="A26" s="142" t="s">
        <v>55</v>
      </c>
      <c r="B26" s="101">
        <v>9.0909090909090912E-2</v>
      </c>
      <c r="C26" s="102">
        <v>9.0909090909090912E-2</v>
      </c>
      <c r="D26" s="102">
        <v>0.54545454545454541</v>
      </c>
      <c r="E26" s="102">
        <v>0.27272727272727271</v>
      </c>
      <c r="F26" s="103">
        <v>1</v>
      </c>
      <c r="G26" s="142"/>
      <c r="H26" s="102"/>
      <c r="P26" s="190"/>
      <c r="Q26" s="149"/>
      <c r="R26" s="190" t="str">
        <f t="shared" si="0"/>
        <v>No</v>
      </c>
      <c r="S26" s="142" t="s">
        <v>116</v>
      </c>
      <c r="T26" s="102">
        <v>1</v>
      </c>
    </row>
    <row r="27" spans="1:20">
      <c r="A27" s="142" t="s">
        <v>69</v>
      </c>
      <c r="B27" s="101">
        <v>0</v>
      </c>
      <c r="C27" s="102">
        <v>0</v>
      </c>
      <c r="D27" s="102">
        <v>0.90909090909090906</v>
      </c>
      <c r="E27" s="102">
        <v>9.0909090909090912E-2</v>
      </c>
      <c r="F27" s="103">
        <v>1</v>
      </c>
      <c r="G27" s="142"/>
      <c r="H27" s="102"/>
      <c r="P27" s="190"/>
      <c r="Q27" s="149"/>
      <c r="R27" s="190" t="str">
        <f t="shared" si="0"/>
        <v>No</v>
      </c>
      <c r="S27" s="142" t="s">
        <v>55</v>
      </c>
      <c r="T27" s="102">
        <v>0.54545454545454541</v>
      </c>
    </row>
    <row r="28" spans="1:20">
      <c r="A28" s="142" t="s">
        <v>70</v>
      </c>
      <c r="B28" s="101">
        <v>0</v>
      </c>
      <c r="C28" s="102">
        <v>0</v>
      </c>
      <c r="D28" s="102">
        <v>1</v>
      </c>
      <c r="E28" s="102">
        <v>0</v>
      </c>
      <c r="F28" s="103">
        <v>1</v>
      </c>
      <c r="G28" s="142"/>
      <c r="H28" s="102"/>
      <c r="P28" s="190"/>
      <c r="Q28" s="149"/>
      <c r="R28" s="190" t="str">
        <f t="shared" si="0"/>
        <v>No</v>
      </c>
      <c r="S28" s="142" t="s">
        <v>69</v>
      </c>
      <c r="T28" s="102">
        <v>0.90909090909090906</v>
      </c>
    </row>
    <row r="29" spans="1:20">
      <c r="A29" s="142" t="s">
        <v>74</v>
      </c>
      <c r="B29" s="101">
        <v>0</v>
      </c>
      <c r="C29" s="102">
        <v>0</v>
      </c>
      <c r="D29" s="102">
        <v>0.90909090909090906</v>
      </c>
      <c r="E29" s="102">
        <v>9.0909090909090912E-2</v>
      </c>
      <c r="F29" s="103">
        <v>1</v>
      </c>
      <c r="G29" s="142"/>
      <c r="H29" s="102"/>
      <c r="P29" s="190"/>
      <c r="Q29" s="149"/>
      <c r="R29" s="190" t="str">
        <f t="shared" si="0"/>
        <v>No</v>
      </c>
      <c r="S29" s="142" t="s">
        <v>70</v>
      </c>
      <c r="T29" s="102">
        <v>1</v>
      </c>
    </row>
    <row r="30" spans="1:20">
      <c r="A30" s="142" t="s">
        <v>71</v>
      </c>
      <c r="B30" s="101">
        <v>0</v>
      </c>
      <c r="C30" s="102">
        <v>0</v>
      </c>
      <c r="D30" s="102">
        <v>0.81818181818181823</v>
      </c>
      <c r="E30" s="102">
        <v>0.18181818181818182</v>
      </c>
      <c r="F30" s="103">
        <v>1</v>
      </c>
      <c r="G30" s="142"/>
      <c r="H30" s="102"/>
      <c r="P30" s="190"/>
      <c r="Q30" s="149"/>
      <c r="R30" s="190" t="str">
        <f t="shared" si="0"/>
        <v>No</v>
      </c>
      <c r="S30" s="142" t="s">
        <v>74</v>
      </c>
      <c r="T30" s="102">
        <v>0.90909090909090906</v>
      </c>
    </row>
    <row r="31" spans="1:20">
      <c r="A31" s="142" t="s">
        <v>53</v>
      </c>
      <c r="B31" s="101">
        <v>0</v>
      </c>
      <c r="C31" s="102">
        <v>0.18181818181818182</v>
      </c>
      <c r="D31" s="102">
        <v>0.72727272727272729</v>
      </c>
      <c r="E31" s="102">
        <v>9.0909090909090912E-2</v>
      </c>
      <c r="F31" s="103">
        <v>1</v>
      </c>
      <c r="G31" s="142"/>
      <c r="H31" s="102"/>
      <c r="P31" s="190"/>
      <c r="Q31" s="149"/>
      <c r="R31" s="190" t="str">
        <f t="shared" si="0"/>
        <v>No</v>
      </c>
      <c r="S31" s="142" t="s">
        <v>71</v>
      </c>
      <c r="T31" s="102">
        <v>0.81818181818181823</v>
      </c>
    </row>
    <row r="32" spans="1:20">
      <c r="A32" s="142" t="s">
        <v>64</v>
      </c>
      <c r="B32" s="101">
        <v>0</v>
      </c>
      <c r="C32" s="102">
        <v>0</v>
      </c>
      <c r="D32" s="102">
        <v>0.63636363636363635</v>
      </c>
      <c r="E32" s="102">
        <v>0.36363636363636365</v>
      </c>
      <c r="F32" s="103">
        <v>1</v>
      </c>
      <c r="G32" s="142"/>
      <c r="H32" s="102"/>
      <c r="P32" s="190"/>
      <c r="Q32" s="149"/>
      <c r="R32" s="190" t="str">
        <f t="shared" si="0"/>
        <v>No</v>
      </c>
      <c r="S32" s="142" t="s">
        <v>53</v>
      </c>
      <c r="T32" s="102">
        <v>0.72727272727272729</v>
      </c>
    </row>
    <row r="33" spans="1:20">
      <c r="A33" s="142" t="s">
        <v>103</v>
      </c>
      <c r="B33" s="101">
        <v>0</v>
      </c>
      <c r="C33" s="102">
        <v>0</v>
      </c>
      <c r="D33" s="102">
        <v>0.8</v>
      </c>
      <c r="E33" s="102">
        <v>0.2</v>
      </c>
      <c r="F33" s="103">
        <v>1</v>
      </c>
      <c r="G33" s="142"/>
      <c r="H33" s="102"/>
      <c r="P33" s="190"/>
      <c r="Q33" s="149"/>
      <c r="R33" s="190" t="str">
        <f t="shared" si="0"/>
        <v>No</v>
      </c>
      <c r="S33" s="142" t="s">
        <v>64</v>
      </c>
      <c r="T33" s="102">
        <v>0.63636363636363635</v>
      </c>
    </row>
    <row r="34" spans="1:20">
      <c r="A34" s="142" t="s">
        <v>41</v>
      </c>
      <c r="B34" s="101">
        <v>0</v>
      </c>
      <c r="C34" s="102">
        <v>0</v>
      </c>
      <c r="D34" s="102">
        <v>0.81818181818181823</v>
      </c>
      <c r="E34" s="102">
        <v>0.18181818181818182</v>
      </c>
      <c r="F34" s="103">
        <v>1</v>
      </c>
      <c r="G34" s="142"/>
      <c r="H34" s="102"/>
      <c r="P34" s="190"/>
      <c r="Q34" s="149"/>
      <c r="R34" s="190" t="str">
        <f t="shared" si="0"/>
        <v>No</v>
      </c>
      <c r="S34" s="142" t="s">
        <v>103</v>
      </c>
      <c r="T34" s="102">
        <v>0.8</v>
      </c>
    </row>
    <row r="35" spans="1:20">
      <c r="A35" s="142" t="s">
        <v>117</v>
      </c>
      <c r="B35" s="101">
        <v>9.0909090909090912E-2</v>
      </c>
      <c r="C35" s="102">
        <v>0</v>
      </c>
      <c r="D35" s="102">
        <v>0.63636363636363635</v>
      </c>
      <c r="E35" s="102">
        <v>0.27272727272727271</v>
      </c>
      <c r="F35" s="103">
        <v>1</v>
      </c>
      <c r="G35" s="142"/>
      <c r="H35" s="102"/>
      <c r="P35" s="190"/>
      <c r="Q35" s="149"/>
      <c r="R35" s="190" t="str">
        <f t="shared" si="0"/>
        <v>No</v>
      </c>
      <c r="S35" s="142" t="s">
        <v>41</v>
      </c>
      <c r="T35" s="102">
        <v>0.81818181818181823</v>
      </c>
    </row>
    <row r="36" spans="1:20">
      <c r="A36" s="142" t="s">
        <v>73</v>
      </c>
      <c r="B36" s="101">
        <v>9.0909090909090912E-2</v>
      </c>
      <c r="C36" s="102">
        <v>9.0909090909090912E-2</v>
      </c>
      <c r="D36" s="102">
        <v>0.54545454545454541</v>
      </c>
      <c r="E36" s="102">
        <v>0.27272727272727271</v>
      </c>
      <c r="F36" s="103">
        <v>1</v>
      </c>
      <c r="G36" s="142"/>
      <c r="H36" s="102"/>
      <c r="P36" s="190"/>
      <c r="Q36" s="149"/>
      <c r="R36" s="190" t="str">
        <f t="shared" si="0"/>
        <v>No</v>
      </c>
      <c r="S36" s="142" t="s">
        <v>117</v>
      </c>
      <c r="T36" s="102">
        <v>0.63636363636363635</v>
      </c>
    </row>
    <row r="37" spans="1:20">
      <c r="A37" s="142" t="s">
        <v>51</v>
      </c>
      <c r="B37" s="101">
        <v>0</v>
      </c>
      <c r="C37" s="102">
        <v>0.18181818181818182</v>
      </c>
      <c r="D37" s="102">
        <v>0.63636363636363635</v>
      </c>
      <c r="E37" s="102">
        <v>0.18181818181818182</v>
      </c>
      <c r="F37" s="103">
        <v>1</v>
      </c>
      <c r="G37" s="142"/>
      <c r="H37" s="102"/>
      <c r="P37" s="190"/>
      <c r="Q37" s="149"/>
      <c r="R37" s="190" t="str">
        <f t="shared" si="0"/>
        <v>No</v>
      </c>
      <c r="S37" s="142" t="s">
        <v>73</v>
      </c>
      <c r="T37" s="102">
        <v>0.54545454545454541</v>
      </c>
    </row>
    <row r="38" spans="1:20">
      <c r="A38" s="142" t="s">
        <v>90</v>
      </c>
      <c r="B38" s="101">
        <v>9.0909090909090912E-2</v>
      </c>
      <c r="C38" s="102">
        <v>0</v>
      </c>
      <c r="D38" s="102">
        <v>0.81818181818181823</v>
      </c>
      <c r="E38" s="102">
        <v>9.0909090909090912E-2</v>
      </c>
      <c r="F38" s="103">
        <v>1</v>
      </c>
      <c r="G38" s="142"/>
      <c r="H38" s="102"/>
      <c r="P38" s="190"/>
      <c r="Q38" s="149"/>
      <c r="R38" s="190" t="str">
        <f t="shared" si="0"/>
        <v>No</v>
      </c>
      <c r="S38" s="142" t="s">
        <v>51</v>
      </c>
      <c r="T38" s="102">
        <v>0.63636363636363635</v>
      </c>
    </row>
    <row r="39" spans="1:20">
      <c r="A39" s="142" t="s">
        <v>75</v>
      </c>
      <c r="B39" s="101">
        <v>0</v>
      </c>
      <c r="C39" s="102">
        <v>0</v>
      </c>
      <c r="D39" s="102">
        <v>0.81818181818181823</v>
      </c>
      <c r="E39" s="102">
        <v>0.18181818181818182</v>
      </c>
      <c r="F39" s="103">
        <v>1</v>
      </c>
      <c r="G39" s="142"/>
      <c r="H39" s="102"/>
      <c r="P39" s="190"/>
      <c r="Q39" s="149"/>
      <c r="R39" s="190" t="str">
        <f t="shared" si="0"/>
        <v>No</v>
      </c>
      <c r="S39" s="142" t="s">
        <v>90</v>
      </c>
      <c r="T39" s="102">
        <v>0.81818181818181823</v>
      </c>
    </row>
    <row r="40" spans="1:20">
      <c r="A40" s="142" t="s">
        <v>44</v>
      </c>
      <c r="B40" s="101">
        <v>0.27272727272727271</v>
      </c>
      <c r="C40" s="102">
        <v>0</v>
      </c>
      <c r="D40" s="102">
        <v>0.72727272727272729</v>
      </c>
      <c r="E40" s="102">
        <v>0</v>
      </c>
      <c r="F40" s="103">
        <v>1</v>
      </c>
      <c r="G40" s="142"/>
      <c r="H40" s="102"/>
      <c r="P40" s="190"/>
      <c r="Q40" s="149"/>
      <c r="R40" s="190" t="str">
        <f t="shared" si="0"/>
        <v>No</v>
      </c>
      <c r="S40" s="142" t="s">
        <v>75</v>
      </c>
      <c r="T40" s="102">
        <v>0.81818181818181823</v>
      </c>
    </row>
    <row r="41" spans="1:20">
      <c r="A41" s="142" t="s">
        <v>100</v>
      </c>
      <c r="B41" s="101">
        <v>0</v>
      </c>
      <c r="C41" s="102">
        <v>0.18181818181818182</v>
      </c>
      <c r="D41" s="102">
        <v>0.63636363636363635</v>
      </c>
      <c r="E41" s="102">
        <v>0.18181818181818182</v>
      </c>
      <c r="F41" s="103">
        <v>1</v>
      </c>
      <c r="G41" s="142"/>
      <c r="H41" s="102"/>
      <c r="P41" s="190"/>
      <c r="Q41" s="149"/>
      <c r="R41" s="190" t="str">
        <f t="shared" si="0"/>
        <v>No</v>
      </c>
      <c r="S41" s="142" t="s">
        <v>44</v>
      </c>
      <c r="T41" s="102">
        <v>0.72727272727272729</v>
      </c>
    </row>
    <row r="42" spans="1:20">
      <c r="A42" s="142" t="s">
        <v>65</v>
      </c>
      <c r="B42" s="101">
        <v>9.0909090909090912E-2</v>
      </c>
      <c r="C42" s="102">
        <v>0</v>
      </c>
      <c r="D42" s="102">
        <v>0.90909090909090906</v>
      </c>
      <c r="E42" s="102">
        <v>0</v>
      </c>
      <c r="F42" s="103">
        <v>1</v>
      </c>
      <c r="G42" s="142"/>
      <c r="H42" s="102"/>
      <c r="P42" s="190"/>
      <c r="Q42" s="149"/>
      <c r="R42" s="190" t="str">
        <f t="shared" si="0"/>
        <v>No</v>
      </c>
      <c r="S42" s="142" t="s">
        <v>100</v>
      </c>
      <c r="T42" s="102">
        <v>0.63636363636363635</v>
      </c>
    </row>
    <row r="43" spans="1:20">
      <c r="A43" s="142" t="s">
        <v>49</v>
      </c>
      <c r="B43" s="101">
        <v>0</v>
      </c>
      <c r="C43" s="102">
        <v>0.18181818181818182</v>
      </c>
      <c r="D43" s="102">
        <v>0.81818181818181823</v>
      </c>
      <c r="E43" s="102">
        <v>0</v>
      </c>
      <c r="F43" s="103">
        <v>1</v>
      </c>
      <c r="G43" s="142"/>
      <c r="H43" s="102"/>
      <c r="P43" s="190"/>
      <c r="Q43" s="149"/>
      <c r="R43" s="190" t="str">
        <f t="shared" si="0"/>
        <v>No</v>
      </c>
      <c r="S43" s="142" t="s">
        <v>65</v>
      </c>
      <c r="T43" s="102">
        <v>0.90909090909090906</v>
      </c>
    </row>
    <row r="44" spans="1:20">
      <c r="A44" s="142" t="s">
        <v>56</v>
      </c>
      <c r="B44" s="101">
        <v>0</v>
      </c>
      <c r="C44" s="102">
        <v>9.0909090909090912E-2</v>
      </c>
      <c r="D44" s="102">
        <v>0.90909090909090906</v>
      </c>
      <c r="E44" s="102">
        <v>0</v>
      </c>
      <c r="F44" s="103">
        <v>1</v>
      </c>
      <c r="G44" s="142"/>
      <c r="H44" s="102"/>
      <c r="P44" s="190"/>
      <c r="Q44" s="149"/>
      <c r="R44" s="190" t="str">
        <f t="shared" si="0"/>
        <v>No</v>
      </c>
      <c r="S44" s="142" t="s">
        <v>49</v>
      </c>
      <c r="T44" s="102">
        <v>0.81818181818181823</v>
      </c>
    </row>
    <row r="45" spans="1:20">
      <c r="A45" s="142" t="s">
        <v>62</v>
      </c>
      <c r="B45" s="101">
        <v>0.18181818181818182</v>
      </c>
      <c r="C45" s="102">
        <v>9.0909090909090912E-2</v>
      </c>
      <c r="D45" s="102">
        <v>0.63636363636363635</v>
      </c>
      <c r="E45" s="102">
        <v>9.0909090909090912E-2</v>
      </c>
      <c r="F45" s="103">
        <v>1</v>
      </c>
      <c r="G45" s="142"/>
      <c r="H45" s="102"/>
      <c r="P45" s="190"/>
      <c r="Q45" s="149"/>
      <c r="R45" s="190" t="str">
        <f t="shared" si="0"/>
        <v>No</v>
      </c>
      <c r="S45" s="142" t="s">
        <v>56</v>
      </c>
      <c r="T45" s="102">
        <v>0.90909090909090906</v>
      </c>
    </row>
    <row r="46" spans="1:20">
      <c r="A46" s="142" t="s">
        <v>82</v>
      </c>
      <c r="B46" s="101">
        <v>0</v>
      </c>
      <c r="C46" s="102">
        <v>0.18181818181818182</v>
      </c>
      <c r="D46" s="102">
        <v>0.45454545454545453</v>
      </c>
      <c r="E46" s="102">
        <v>0.36363636363636365</v>
      </c>
      <c r="F46" s="103">
        <v>1</v>
      </c>
      <c r="G46" s="142"/>
      <c r="H46" s="102"/>
      <c r="P46" s="190"/>
      <c r="Q46" s="149"/>
      <c r="R46" s="190" t="str">
        <f t="shared" si="0"/>
        <v>No</v>
      </c>
      <c r="S46" s="142" t="s">
        <v>62</v>
      </c>
      <c r="T46" s="102">
        <v>0.63636363636363635</v>
      </c>
    </row>
    <row r="47" spans="1:20">
      <c r="A47" s="142" t="s">
        <v>60</v>
      </c>
      <c r="B47" s="101">
        <v>0</v>
      </c>
      <c r="C47" s="102">
        <v>9.0909090909090912E-2</v>
      </c>
      <c r="D47" s="102">
        <v>0.81818181818181823</v>
      </c>
      <c r="E47" s="102">
        <v>9.0909090909090912E-2</v>
      </c>
      <c r="F47" s="103">
        <v>1</v>
      </c>
      <c r="G47" s="142"/>
      <c r="H47" s="102"/>
      <c r="P47" s="190"/>
      <c r="Q47" s="149"/>
      <c r="R47" s="190" t="str">
        <f t="shared" si="0"/>
        <v>No</v>
      </c>
      <c r="S47" s="142" t="s">
        <v>82</v>
      </c>
      <c r="T47" s="102">
        <v>0.45454545454545453</v>
      </c>
    </row>
    <row r="48" spans="1:20">
      <c r="A48" s="142" t="s">
        <v>77</v>
      </c>
      <c r="B48" s="101">
        <v>0</v>
      </c>
      <c r="C48" s="102">
        <v>0</v>
      </c>
      <c r="D48" s="102">
        <v>0.81818181818181823</v>
      </c>
      <c r="E48" s="102">
        <v>0.18181818181818182</v>
      </c>
      <c r="F48" s="103">
        <v>1</v>
      </c>
      <c r="G48" s="142"/>
      <c r="H48" s="102"/>
      <c r="P48" s="190"/>
      <c r="Q48" s="149"/>
      <c r="R48" s="190" t="str">
        <f t="shared" si="0"/>
        <v>No</v>
      </c>
      <c r="S48" s="142" t="s">
        <v>60</v>
      </c>
      <c r="T48" s="102">
        <v>0.81818181818181823</v>
      </c>
    </row>
    <row r="49" spans="1:20">
      <c r="A49" s="142" t="s">
        <v>85</v>
      </c>
      <c r="B49" s="101">
        <v>0</v>
      </c>
      <c r="C49" s="102">
        <v>0</v>
      </c>
      <c r="D49" s="102">
        <v>0.90909090909090906</v>
      </c>
      <c r="E49" s="102">
        <v>9.0909090909090912E-2</v>
      </c>
      <c r="F49" s="103">
        <v>1</v>
      </c>
      <c r="G49" s="142"/>
      <c r="H49" s="102"/>
      <c r="P49" s="190"/>
      <c r="Q49" s="149"/>
      <c r="R49" s="190" t="str">
        <f t="shared" si="0"/>
        <v>No</v>
      </c>
      <c r="S49" s="142" t="s">
        <v>77</v>
      </c>
      <c r="T49" s="102">
        <v>0.81818181818181823</v>
      </c>
    </row>
    <row r="50" spans="1:20">
      <c r="A50" s="142" t="s">
        <v>86</v>
      </c>
      <c r="B50" s="101">
        <v>0</v>
      </c>
      <c r="C50" s="102">
        <v>0</v>
      </c>
      <c r="D50" s="102">
        <v>1</v>
      </c>
      <c r="E50" s="102">
        <v>0</v>
      </c>
      <c r="F50" s="103">
        <v>1</v>
      </c>
      <c r="G50" s="142"/>
      <c r="H50" s="102"/>
      <c r="P50" s="190"/>
      <c r="Q50" s="149"/>
      <c r="R50" s="190" t="str">
        <f t="shared" si="0"/>
        <v>No</v>
      </c>
      <c r="S50" s="142" t="s">
        <v>85</v>
      </c>
      <c r="T50" s="102">
        <v>0.90909090909090906</v>
      </c>
    </row>
    <row r="51" spans="1:20">
      <c r="A51" s="142" t="s">
        <v>87</v>
      </c>
      <c r="B51" s="101">
        <v>0</v>
      </c>
      <c r="C51" s="102">
        <v>0</v>
      </c>
      <c r="D51" s="102">
        <v>0.90909090909090906</v>
      </c>
      <c r="E51" s="102">
        <v>9.0909090909090912E-2</v>
      </c>
      <c r="F51" s="103">
        <v>1</v>
      </c>
      <c r="G51" s="142"/>
      <c r="H51" s="102"/>
      <c r="P51" s="190"/>
      <c r="Q51" s="149"/>
      <c r="R51" s="190" t="str">
        <f t="shared" si="0"/>
        <v>No</v>
      </c>
      <c r="S51" s="142" t="s">
        <v>86</v>
      </c>
      <c r="T51" s="102">
        <v>1</v>
      </c>
    </row>
    <row r="52" spans="1:20">
      <c r="A52" s="142" t="s">
        <v>108</v>
      </c>
      <c r="B52" s="101">
        <v>9.0909090909090912E-2</v>
      </c>
      <c r="C52" s="102">
        <v>0</v>
      </c>
      <c r="D52" s="102">
        <v>0.72727272727272729</v>
      </c>
      <c r="E52" s="102">
        <v>0.18181818181818182</v>
      </c>
      <c r="F52" s="103">
        <v>1</v>
      </c>
      <c r="G52" s="142"/>
      <c r="H52" s="102"/>
      <c r="P52" s="190"/>
      <c r="Q52" s="149"/>
      <c r="R52" s="190" t="str">
        <f t="shared" si="0"/>
        <v>No</v>
      </c>
      <c r="S52" s="142" t="s">
        <v>87</v>
      </c>
      <c r="T52" s="102">
        <v>0.90909090909090906</v>
      </c>
    </row>
    <row r="53" spans="1:20">
      <c r="A53" s="142" t="s">
        <v>48</v>
      </c>
      <c r="B53" s="101">
        <v>0</v>
      </c>
      <c r="C53" s="102">
        <v>0.27272727272727271</v>
      </c>
      <c r="D53" s="102">
        <v>0.63636363636363635</v>
      </c>
      <c r="E53" s="102">
        <v>9.0909090909090912E-2</v>
      </c>
      <c r="F53" s="103">
        <v>1</v>
      </c>
      <c r="G53" s="142"/>
      <c r="H53" s="102"/>
      <c r="P53" s="190"/>
      <c r="Q53" s="149"/>
      <c r="R53" s="190" t="str">
        <f t="shared" si="0"/>
        <v>No</v>
      </c>
      <c r="S53" s="142" t="s">
        <v>108</v>
      </c>
      <c r="T53" s="102">
        <v>0.72727272727272729</v>
      </c>
    </row>
    <row r="54" spans="1:20">
      <c r="A54" s="142" t="s">
        <v>98</v>
      </c>
      <c r="B54" s="101">
        <v>0</v>
      </c>
      <c r="C54" s="102">
        <v>9.0909090909090912E-2</v>
      </c>
      <c r="D54" s="102">
        <v>0.45454545454545453</v>
      </c>
      <c r="E54" s="102">
        <v>0.45454545454545453</v>
      </c>
      <c r="F54" s="103">
        <v>1</v>
      </c>
      <c r="G54" s="142"/>
      <c r="H54" s="102"/>
      <c r="P54" s="190"/>
      <c r="Q54" s="149"/>
      <c r="R54" s="190" t="str">
        <f t="shared" si="0"/>
        <v>No</v>
      </c>
      <c r="S54" s="142" t="s">
        <v>48</v>
      </c>
      <c r="T54" s="102">
        <v>0.63636363636363635</v>
      </c>
    </row>
    <row r="55" spans="1:20">
      <c r="A55" s="142" t="s">
        <v>97</v>
      </c>
      <c r="B55" s="101">
        <v>0.18181818181818182</v>
      </c>
      <c r="C55" s="102">
        <v>0</v>
      </c>
      <c r="D55" s="102">
        <v>0.63636363636363635</v>
      </c>
      <c r="E55" s="102">
        <v>0.18181818181818182</v>
      </c>
      <c r="F55" s="103">
        <v>1</v>
      </c>
      <c r="G55" s="142"/>
      <c r="H55" s="102"/>
      <c r="P55" s="190"/>
      <c r="Q55" s="149"/>
      <c r="R55" s="190" t="str">
        <f t="shared" si="0"/>
        <v>No</v>
      </c>
      <c r="S55" s="142" t="s">
        <v>98</v>
      </c>
      <c r="T55" s="102">
        <v>0.45454545454545453</v>
      </c>
    </row>
    <row r="56" spans="1:20">
      <c r="A56" s="142" t="s">
        <v>79</v>
      </c>
      <c r="B56" s="101">
        <v>0</v>
      </c>
      <c r="C56" s="102">
        <v>0.18181818181818182</v>
      </c>
      <c r="D56" s="102">
        <v>9.0909090909090912E-2</v>
      </c>
      <c r="E56" s="102">
        <v>0.72727272727272729</v>
      </c>
      <c r="F56" s="103">
        <v>1</v>
      </c>
      <c r="G56" s="142"/>
      <c r="H56" s="102"/>
      <c r="P56" s="190"/>
      <c r="Q56" s="149"/>
      <c r="R56" s="190" t="str">
        <f t="shared" si="0"/>
        <v>No</v>
      </c>
      <c r="S56" s="142" t="s">
        <v>97</v>
      </c>
      <c r="T56" s="102">
        <v>0.63636363636363635</v>
      </c>
    </row>
    <row r="57" spans="1:20">
      <c r="A57" s="142" t="s">
        <v>66</v>
      </c>
      <c r="B57" s="101">
        <v>9.0909090909090912E-2</v>
      </c>
      <c r="C57" s="102">
        <v>0</v>
      </c>
      <c r="D57" s="102">
        <v>0.90909090909090906</v>
      </c>
      <c r="E57" s="102">
        <v>0</v>
      </c>
      <c r="F57" s="103">
        <v>1</v>
      </c>
      <c r="G57" s="142"/>
      <c r="H57" s="102"/>
      <c r="P57" s="190"/>
      <c r="Q57" s="149"/>
      <c r="R57" s="190" t="str">
        <f t="shared" si="0"/>
        <v>Yes</v>
      </c>
      <c r="S57" s="142" t="s">
        <v>79</v>
      </c>
      <c r="T57" s="102">
        <v>9.0909090909090912E-2</v>
      </c>
    </row>
    <row r="58" spans="1:20">
      <c r="A58" s="142" t="s">
        <v>91</v>
      </c>
      <c r="B58" s="101">
        <v>0</v>
      </c>
      <c r="C58" s="102">
        <v>0.18181818181818182</v>
      </c>
      <c r="D58" s="102">
        <v>0.72727272727272729</v>
      </c>
      <c r="E58" s="102">
        <v>9.0909090909090912E-2</v>
      </c>
      <c r="F58" s="103">
        <v>1</v>
      </c>
      <c r="G58" s="142"/>
      <c r="H58" s="102"/>
      <c r="P58" s="190"/>
      <c r="Q58" s="149"/>
      <c r="R58" s="190" t="str">
        <f t="shared" si="0"/>
        <v>No</v>
      </c>
      <c r="S58" s="142" t="s">
        <v>66</v>
      </c>
      <c r="T58" s="102">
        <v>0.90909090909090906</v>
      </c>
    </row>
    <row r="59" spans="1:20">
      <c r="A59" s="142" t="s">
        <v>38</v>
      </c>
      <c r="B59" s="101">
        <v>0</v>
      </c>
      <c r="C59" s="102">
        <v>9.0909090909090912E-2</v>
      </c>
      <c r="D59" s="102">
        <v>0.81818181818181823</v>
      </c>
      <c r="E59" s="102">
        <v>9.0909090909090912E-2</v>
      </c>
      <c r="F59" s="103">
        <v>1</v>
      </c>
      <c r="G59" s="142"/>
      <c r="H59" s="102"/>
      <c r="P59" s="190"/>
      <c r="Q59" s="149"/>
      <c r="R59" s="190" t="str">
        <f t="shared" si="0"/>
        <v>No</v>
      </c>
      <c r="S59" s="142" t="s">
        <v>91</v>
      </c>
      <c r="T59" s="102">
        <v>0.72727272727272729</v>
      </c>
    </row>
    <row r="60" spans="1:20">
      <c r="A60" s="142" t="s">
        <v>43</v>
      </c>
      <c r="B60" s="101">
        <v>0.27272727272727271</v>
      </c>
      <c r="C60" s="102">
        <v>9.0909090909090912E-2</v>
      </c>
      <c r="D60" s="102">
        <v>0.63636363636363635</v>
      </c>
      <c r="E60" s="102">
        <v>0</v>
      </c>
      <c r="F60" s="103">
        <v>1</v>
      </c>
      <c r="G60" s="142"/>
      <c r="H60" s="102"/>
      <c r="P60" s="190"/>
      <c r="Q60" s="149"/>
      <c r="R60" s="190" t="str">
        <f t="shared" si="0"/>
        <v>No</v>
      </c>
      <c r="S60" s="142" t="s">
        <v>38</v>
      </c>
      <c r="T60" s="102">
        <v>0.81818181818181823</v>
      </c>
    </row>
    <row r="61" spans="1:20">
      <c r="A61" s="142" t="s">
        <v>84</v>
      </c>
      <c r="B61" s="101">
        <v>0</v>
      </c>
      <c r="C61" s="102">
        <v>0</v>
      </c>
      <c r="D61" s="102">
        <v>0.90909090909090906</v>
      </c>
      <c r="E61" s="102">
        <v>9.0909090909090912E-2</v>
      </c>
      <c r="F61" s="103">
        <v>1</v>
      </c>
      <c r="G61" s="142"/>
      <c r="H61" s="102"/>
      <c r="P61" s="190"/>
      <c r="Q61" s="149"/>
      <c r="R61" s="190" t="str">
        <f t="shared" si="0"/>
        <v>No</v>
      </c>
      <c r="S61" s="142" t="s">
        <v>43</v>
      </c>
      <c r="T61" s="102">
        <v>0.63636363636363635</v>
      </c>
    </row>
    <row r="62" spans="1:20">
      <c r="A62" s="142" t="s">
        <v>68</v>
      </c>
      <c r="B62" s="101">
        <v>0</v>
      </c>
      <c r="C62" s="102">
        <v>0</v>
      </c>
      <c r="D62" s="102">
        <v>0.81818181818181823</v>
      </c>
      <c r="E62" s="102">
        <v>0.18181818181818182</v>
      </c>
      <c r="F62" s="103">
        <v>1</v>
      </c>
      <c r="G62" s="142"/>
      <c r="H62" s="102"/>
      <c r="P62" s="190"/>
      <c r="Q62" s="149"/>
      <c r="R62" s="190" t="str">
        <f t="shared" si="0"/>
        <v>No</v>
      </c>
      <c r="S62" s="142" t="s">
        <v>84</v>
      </c>
      <c r="T62" s="102">
        <v>0.90909090909090906</v>
      </c>
    </row>
    <row r="63" spans="1:20">
      <c r="A63" s="142" t="s">
        <v>47</v>
      </c>
      <c r="B63" s="101">
        <v>9.0909090909090912E-2</v>
      </c>
      <c r="C63" s="102">
        <v>0</v>
      </c>
      <c r="D63" s="102">
        <v>0.90909090909090906</v>
      </c>
      <c r="E63" s="102">
        <v>0</v>
      </c>
      <c r="F63" s="103">
        <v>1</v>
      </c>
      <c r="G63" s="142"/>
      <c r="H63" s="102"/>
      <c r="P63" s="190"/>
      <c r="Q63" s="149"/>
      <c r="R63" s="190" t="str">
        <f t="shared" si="0"/>
        <v>No</v>
      </c>
      <c r="S63" s="142" t="s">
        <v>68</v>
      </c>
      <c r="T63" s="102">
        <v>0.81818181818181823</v>
      </c>
    </row>
    <row r="64" spans="1:20">
      <c r="A64" s="142" t="s">
        <v>99</v>
      </c>
      <c r="B64" s="101">
        <v>0.36363636363636365</v>
      </c>
      <c r="C64" s="102">
        <v>0</v>
      </c>
      <c r="D64" s="102">
        <v>0.54545454545454541</v>
      </c>
      <c r="E64" s="102">
        <v>9.0909090909090912E-2</v>
      </c>
      <c r="F64" s="103">
        <v>1</v>
      </c>
      <c r="G64" s="142"/>
      <c r="H64" s="102"/>
      <c r="P64" s="190"/>
      <c r="Q64" s="149"/>
      <c r="R64" s="190" t="str">
        <f t="shared" si="0"/>
        <v>No</v>
      </c>
      <c r="S64" s="142" t="s">
        <v>47</v>
      </c>
      <c r="T64" s="102">
        <v>0.90909090909090906</v>
      </c>
    </row>
    <row r="65" spans="1:20">
      <c r="A65" s="142" t="s">
        <v>93</v>
      </c>
      <c r="B65" s="101">
        <v>0</v>
      </c>
      <c r="C65" s="102">
        <v>0.18181818181818182</v>
      </c>
      <c r="D65" s="102">
        <v>0.72727272727272729</v>
      </c>
      <c r="E65" s="102">
        <v>9.0909090909090912E-2</v>
      </c>
      <c r="F65" s="103">
        <v>1</v>
      </c>
      <c r="G65" s="142"/>
      <c r="H65" s="102"/>
      <c r="P65" s="190"/>
      <c r="Q65" s="149"/>
      <c r="R65" s="190" t="str">
        <f t="shared" si="0"/>
        <v>No</v>
      </c>
      <c r="S65" s="142" t="s">
        <v>99</v>
      </c>
      <c r="T65" s="102">
        <v>0.54545454545454541</v>
      </c>
    </row>
    <row r="66" spans="1:20">
      <c r="A66" s="142" t="s">
        <v>95</v>
      </c>
      <c r="B66" s="101">
        <v>0</v>
      </c>
      <c r="C66" s="102">
        <v>9.0909090909090912E-2</v>
      </c>
      <c r="D66" s="102">
        <v>0.81818181818181823</v>
      </c>
      <c r="E66" s="102">
        <v>9.0909090909090912E-2</v>
      </c>
      <c r="F66" s="103">
        <v>1</v>
      </c>
      <c r="G66" s="142"/>
      <c r="H66" s="102"/>
      <c r="P66" s="190"/>
      <c r="Q66" s="149"/>
      <c r="R66" s="190" t="str">
        <f t="shared" si="0"/>
        <v>No</v>
      </c>
      <c r="S66" s="142" t="s">
        <v>93</v>
      </c>
      <c r="T66" s="102">
        <v>0.72727272727272729</v>
      </c>
    </row>
    <row r="67" spans="1:20">
      <c r="A67" s="142" t="s">
        <v>63</v>
      </c>
      <c r="B67" s="101">
        <v>0.18181818181818182</v>
      </c>
      <c r="C67" s="102">
        <v>9.0909090909090912E-2</v>
      </c>
      <c r="D67" s="102">
        <v>0.63636363636363635</v>
      </c>
      <c r="E67" s="102">
        <v>9.0909090909090912E-2</v>
      </c>
      <c r="F67" s="103">
        <v>1</v>
      </c>
      <c r="G67" s="142"/>
      <c r="H67" s="102"/>
      <c r="P67" s="190"/>
      <c r="Q67" s="149"/>
      <c r="R67" s="190" t="str">
        <f t="shared" si="0"/>
        <v>No</v>
      </c>
      <c r="S67" s="142" t="s">
        <v>95</v>
      </c>
      <c r="T67" s="102">
        <v>0.81818181818181823</v>
      </c>
    </row>
    <row r="68" spans="1:20">
      <c r="A68" s="142" t="s">
        <v>89</v>
      </c>
      <c r="B68" s="101">
        <v>0</v>
      </c>
      <c r="C68" s="102">
        <v>9.0909090909090912E-2</v>
      </c>
      <c r="D68" s="102">
        <v>0.27272727272727271</v>
      </c>
      <c r="E68" s="102">
        <v>0.63636363636363635</v>
      </c>
      <c r="F68" s="103">
        <v>1</v>
      </c>
      <c r="G68" s="142"/>
      <c r="H68" s="102"/>
      <c r="P68" s="190"/>
      <c r="Q68" s="149"/>
      <c r="R68" s="190" t="str">
        <f t="shared" si="0"/>
        <v>No</v>
      </c>
      <c r="S68" s="142" t="s">
        <v>63</v>
      </c>
      <c r="T68" s="102">
        <v>0.63636363636363635</v>
      </c>
    </row>
    <row r="69" spans="1:20">
      <c r="A69" s="142" t="s">
        <v>39</v>
      </c>
      <c r="B69" s="101">
        <v>9.0909090909090912E-2</v>
      </c>
      <c r="C69" s="102">
        <v>0</v>
      </c>
      <c r="D69" s="102">
        <v>0.45454545454545453</v>
      </c>
      <c r="E69" s="102">
        <v>0.45454545454545453</v>
      </c>
      <c r="F69" s="103">
        <v>1</v>
      </c>
      <c r="G69" s="142"/>
      <c r="H69" s="102"/>
      <c r="P69" s="190"/>
      <c r="Q69" s="149"/>
      <c r="R69" s="190" t="str">
        <f t="shared" si="0"/>
        <v>Yes</v>
      </c>
      <c r="S69" s="142" t="s">
        <v>89</v>
      </c>
      <c r="T69" s="102">
        <v>0.27272727272727271</v>
      </c>
    </row>
    <row r="70" spans="1:20">
      <c r="A70" s="142" t="s">
        <v>110</v>
      </c>
      <c r="B70" s="101">
        <v>0</v>
      </c>
      <c r="C70" s="102">
        <v>9.0909090909090912E-2</v>
      </c>
      <c r="D70" s="102">
        <v>0.72727272727272729</v>
      </c>
      <c r="E70" s="102">
        <v>0.18181818181818182</v>
      </c>
      <c r="F70" s="103">
        <v>1</v>
      </c>
      <c r="G70" s="142"/>
      <c r="H70" s="102"/>
      <c r="P70" s="190"/>
      <c r="Q70" s="149"/>
      <c r="R70" s="190" t="str">
        <f t="shared" ref="R70:R73" si="1">IF(ABS(D69-$Q$6)&gt;1.5*$Q$9,"Yes","No")</f>
        <v>No</v>
      </c>
      <c r="S70" s="142" t="s">
        <v>39</v>
      </c>
      <c r="T70" s="102">
        <v>0.45454545454545453</v>
      </c>
    </row>
    <row r="71" spans="1:20">
      <c r="A71" s="142" t="s">
        <v>58</v>
      </c>
      <c r="B71" s="101">
        <v>9.0909090909090912E-2</v>
      </c>
      <c r="C71" s="102">
        <v>9.0909090909090912E-2</v>
      </c>
      <c r="D71" s="102">
        <v>0.63636363636363635</v>
      </c>
      <c r="E71" s="102">
        <v>0.18181818181818182</v>
      </c>
      <c r="F71" s="103">
        <v>1</v>
      </c>
      <c r="G71" s="142"/>
      <c r="H71" s="102"/>
      <c r="P71" s="190"/>
      <c r="Q71" s="149"/>
      <c r="R71" s="190" t="str">
        <f t="shared" si="1"/>
        <v>No</v>
      </c>
      <c r="S71" s="142" t="s">
        <v>110</v>
      </c>
      <c r="T71" s="102">
        <v>0.72727272727272729</v>
      </c>
    </row>
    <row r="72" spans="1:20">
      <c r="A72" s="142" t="s">
        <v>101</v>
      </c>
      <c r="B72" s="101">
        <v>0</v>
      </c>
      <c r="C72" s="102">
        <v>0.27272727272727271</v>
      </c>
      <c r="D72" s="102">
        <v>0.36363636363636365</v>
      </c>
      <c r="E72" s="102">
        <v>0.36363636363636365</v>
      </c>
      <c r="F72" s="103">
        <v>1</v>
      </c>
      <c r="G72" s="142"/>
      <c r="H72" s="102"/>
      <c r="P72" s="190"/>
      <c r="Q72" s="149"/>
      <c r="R72" s="190" t="str">
        <f t="shared" si="1"/>
        <v>No</v>
      </c>
      <c r="S72" s="142" t="s">
        <v>58</v>
      </c>
      <c r="T72" s="102">
        <v>0.63636363636363635</v>
      </c>
    </row>
    <row r="73" spans="1:20">
      <c r="A73" s="142" t="s">
        <v>109</v>
      </c>
      <c r="B73" s="101">
        <v>9.0909090909090912E-2</v>
      </c>
      <c r="C73" s="102">
        <v>9.0909090909090912E-2</v>
      </c>
      <c r="D73" s="102">
        <v>0.54545454545454541</v>
      </c>
      <c r="E73" s="102">
        <v>0.27272727272727271</v>
      </c>
      <c r="F73" s="103">
        <v>1</v>
      </c>
      <c r="G73" s="142"/>
      <c r="H73" s="102"/>
      <c r="P73" s="190"/>
      <c r="Q73" s="149"/>
      <c r="R73" s="190" t="str">
        <f t="shared" si="1"/>
        <v>Yes</v>
      </c>
      <c r="S73" s="142" t="s">
        <v>101</v>
      </c>
      <c r="T73" s="102">
        <v>0.36363636363636365</v>
      </c>
    </row>
    <row r="74" spans="1:20">
      <c r="A74" s="142" t="s">
        <v>88</v>
      </c>
      <c r="B74" s="101">
        <v>0</v>
      </c>
      <c r="C74" s="102">
        <v>0</v>
      </c>
      <c r="D74" s="102">
        <v>0.63636363636363635</v>
      </c>
      <c r="E74" s="102">
        <v>0.36363636363636365</v>
      </c>
      <c r="F74" s="103">
        <v>1</v>
      </c>
      <c r="G74" s="142"/>
      <c r="H74" s="102"/>
      <c r="P74" s="143"/>
      <c r="Q74" s="149"/>
      <c r="R74" s="97" t="str">
        <f t="shared" ref="R74:R78" si="2">IF(ABS(D73-$Q$6)&gt;1.5*$Q$9,"Yes","No")</f>
        <v>No</v>
      </c>
      <c r="S74" s="142" t="s">
        <v>109</v>
      </c>
      <c r="T74" s="102">
        <v>0.54545454545454541</v>
      </c>
    </row>
    <row r="75" spans="1:20">
      <c r="A75" s="142" t="s">
        <v>102</v>
      </c>
      <c r="B75" s="101">
        <v>0</v>
      </c>
      <c r="C75" s="102">
        <v>0</v>
      </c>
      <c r="D75" s="102">
        <v>0.90909090909090906</v>
      </c>
      <c r="E75" s="102">
        <v>9.0909090909090912E-2</v>
      </c>
      <c r="F75" s="103">
        <v>1</v>
      </c>
      <c r="G75" s="142"/>
      <c r="H75" s="102"/>
      <c r="P75" s="143"/>
      <c r="Q75" s="208"/>
      <c r="R75" s="97" t="str">
        <f t="shared" si="2"/>
        <v>No</v>
      </c>
      <c r="S75" s="142" t="s">
        <v>88</v>
      </c>
      <c r="T75" s="102">
        <v>0.63636363636363635</v>
      </c>
    </row>
    <row r="76" spans="1:20">
      <c r="A76" s="142" t="s">
        <v>96</v>
      </c>
      <c r="B76" s="101">
        <v>0</v>
      </c>
      <c r="C76" s="102">
        <v>9.0909090909090912E-2</v>
      </c>
      <c r="D76" s="102">
        <v>0.63636363636363635</v>
      </c>
      <c r="E76" s="102">
        <v>0.27272727272727271</v>
      </c>
      <c r="F76" s="103">
        <v>1</v>
      </c>
      <c r="G76" s="142"/>
      <c r="H76" s="102"/>
      <c r="P76" s="141"/>
      <c r="Q76" s="99"/>
      <c r="R76" s="97" t="str">
        <f t="shared" si="2"/>
        <v>No</v>
      </c>
      <c r="S76" s="142" t="s">
        <v>102</v>
      </c>
      <c r="T76" s="102">
        <v>0.90909090909090906</v>
      </c>
    </row>
    <row r="77" spans="1:20">
      <c r="A77" s="142" t="s">
        <v>37</v>
      </c>
      <c r="B77" s="101">
        <v>9.0909090909090912E-2</v>
      </c>
      <c r="C77" s="102">
        <v>0</v>
      </c>
      <c r="D77" s="102">
        <v>0.90909090909090906</v>
      </c>
      <c r="E77" s="102">
        <v>0</v>
      </c>
      <c r="F77" s="103">
        <v>1</v>
      </c>
      <c r="G77" s="142"/>
      <c r="H77" s="102"/>
      <c r="P77" s="142"/>
      <c r="Q77" s="102"/>
      <c r="R77" s="97" t="str">
        <f t="shared" si="2"/>
        <v>No</v>
      </c>
      <c r="S77" s="142" t="s">
        <v>96</v>
      </c>
      <c r="T77" s="102">
        <v>0.63636363636363635</v>
      </c>
    </row>
    <row r="78" spans="1:20">
      <c r="A78" s="134" t="s">
        <v>104</v>
      </c>
      <c r="B78" s="144">
        <v>4.6134663341645885E-2</v>
      </c>
      <c r="C78" s="145">
        <v>6.3591022443890269E-2</v>
      </c>
      <c r="D78" s="145">
        <v>0.73316708229426431</v>
      </c>
      <c r="E78" s="145">
        <v>0.15710723192019951</v>
      </c>
      <c r="F78" s="136">
        <v>1</v>
      </c>
      <c r="G78" s="142"/>
      <c r="H78" s="102"/>
      <c r="P78" s="142"/>
      <c r="Q78" s="102"/>
      <c r="R78" s="97" t="str">
        <f t="shared" si="2"/>
        <v>No</v>
      </c>
      <c r="S78" s="142" t="s">
        <v>37</v>
      </c>
      <c r="T78" s="102">
        <v>0.90909090909090906</v>
      </c>
    </row>
    <row r="79" spans="1:20">
      <c r="G79" s="134"/>
      <c r="H79" s="135"/>
      <c r="P79" s="142"/>
      <c r="Q79" s="102"/>
      <c r="S79" s="134" t="s">
        <v>104</v>
      </c>
      <c r="T79" s="135">
        <v>0.73316708229426431</v>
      </c>
    </row>
    <row r="80" spans="1:20">
      <c r="G80" s="190"/>
      <c r="H80" s="190"/>
      <c r="P80" s="142"/>
      <c r="Q80" s="102"/>
      <c r="S80" s="209"/>
      <c r="T80" s="210"/>
    </row>
    <row r="81" spans="16:17">
      <c r="P81" s="142"/>
      <c r="Q81" s="102"/>
    </row>
    <row r="82" spans="16:17">
      <c r="P82" s="142"/>
      <c r="Q82" s="102"/>
    </row>
    <row r="83" spans="16:17">
      <c r="P83" s="142"/>
      <c r="Q83" s="102"/>
    </row>
    <row r="84" spans="16:17">
      <c r="P84" s="148"/>
      <c r="Q84" s="102"/>
    </row>
    <row r="85" spans="16:17">
      <c r="P85" s="142"/>
      <c r="Q85" s="102"/>
    </row>
    <row r="86" spans="16:17">
      <c r="P86" s="142"/>
      <c r="Q86" s="102"/>
    </row>
    <row r="87" spans="16:17">
      <c r="P87" s="142"/>
      <c r="Q87" s="102"/>
    </row>
    <row r="88" spans="16:17">
      <c r="P88" s="142"/>
      <c r="Q88" s="102"/>
    </row>
    <row r="89" spans="16:17">
      <c r="P89" s="142"/>
      <c r="Q89" s="102"/>
    </row>
    <row r="90" spans="16:17">
      <c r="P90" s="142"/>
      <c r="Q90" s="102"/>
    </row>
    <row r="91" spans="16:17">
      <c r="P91" s="142"/>
      <c r="Q91" s="102"/>
    </row>
    <row r="92" spans="16:17">
      <c r="P92" s="142"/>
      <c r="Q92" s="102"/>
    </row>
    <row r="93" spans="16:17">
      <c r="P93" s="142"/>
      <c r="Q93" s="102"/>
    </row>
    <row r="94" spans="16:17">
      <c r="P94" s="142"/>
      <c r="Q94" s="102"/>
    </row>
    <row r="95" spans="16:17">
      <c r="P95" s="142"/>
      <c r="Q95" s="102"/>
    </row>
    <row r="96" spans="16:17">
      <c r="P96" s="142"/>
      <c r="Q96" s="102"/>
    </row>
    <row r="97" spans="16:17">
      <c r="P97" s="142"/>
      <c r="Q97" s="102"/>
    </row>
    <row r="98" spans="16:17">
      <c r="P98" s="142"/>
      <c r="Q98" s="102"/>
    </row>
    <row r="99" spans="16:17">
      <c r="P99" s="142"/>
      <c r="Q99" s="102"/>
    </row>
    <row r="100" spans="16:17">
      <c r="P100" s="142"/>
      <c r="Q100" s="102"/>
    </row>
    <row r="101" spans="16:17">
      <c r="P101" s="142"/>
      <c r="Q101" s="102"/>
    </row>
    <row r="102" spans="16:17">
      <c r="P102" s="142"/>
      <c r="Q102" s="102"/>
    </row>
    <row r="103" spans="16:17">
      <c r="P103" s="142"/>
      <c r="Q103" s="102"/>
    </row>
    <row r="104" spans="16:17">
      <c r="P104" s="142"/>
      <c r="Q104" s="102"/>
    </row>
    <row r="105" spans="16:17">
      <c r="P105" s="142"/>
      <c r="Q105" s="102"/>
    </row>
    <row r="106" spans="16:17">
      <c r="P106" s="142"/>
      <c r="Q106" s="102"/>
    </row>
    <row r="107" spans="16:17">
      <c r="P107" s="142"/>
      <c r="Q107" s="102"/>
    </row>
    <row r="108" spans="16:17">
      <c r="P108" s="142"/>
      <c r="Q108" s="102"/>
    </row>
    <row r="109" spans="16:17">
      <c r="P109" s="142"/>
      <c r="Q109" s="102"/>
    </row>
    <row r="110" spans="16:17">
      <c r="P110" s="142"/>
      <c r="Q110" s="102"/>
    </row>
    <row r="111" spans="16:17">
      <c r="P111" s="142"/>
      <c r="Q111" s="102"/>
    </row>
    <row r="112" spans="16:17">
      <c r="P112" s="142"/>
      <c r="Q112" s="102"/>
    </row>
    <row r="113" spans="16:17">
      <c r="P113" s="142"/>
      <c r="Q113" s="102"/>
    </row>
    <row r="114" spans="16:17">
      <c r="P114" s="142"/>
      <c r="Q114" s="102"/>
    </row>
    <row r="115" spans="16:17">
      <c r="P115" s="142"/>
      <c r="Q115" s="102"/>
    </row>
    <row r="116" spans="16:17">
      <c r="P116" s="142"/>
      <c r="Q116" s="102"/>
    </row>
    <row r="117" spans="16:17">
      <c r="P117" s="142"/>
      <c r="Q117" s="102"/>
    </row>
    <row r="118" spans="16:17">
      <c r="P118" s="142"/>
      <c r="Q118" s="102"/>
    </row>
    <row r="119" spans="16:17">
      <c r="P119" s="142"/>
      <c r="Q119" s="102"/>
    </row>
    <row r="120" spans="16:17">
      <c r="P120" s="142"/>
      <c r="Q120" s="102"/>
    </row>
    <row r="121" spans="16:17">
      <c r="P121" s="142"/>
      <c r="Q121" s="102"/>
    </row>
    <row r="122" spans="16:17">
      <c r="P122" s="142"/>
      <c r="Q122" s="102"/>
    </row>
    <row r="123" spans="16:17">
      <c r="P123" s="142"/>
      <c r="Q123" s="102"/>
    </row>
    <row r="124" spans="16:17">
      <c r="P124" s="142"/>
      <c r="Q124" s="102"/>
    </row>
    <row r="125" spans="16:17">
      <c r="P125" s="142"/>
      <c r="Q125" s="102"/>
    </row>
    <row r="126" spans="16:17">
      <c r="P126" s="142"/>
      <c r="Q126" s="102"/>
    </row>
    <row r="127" spans="16:17">
      <c r="P127" s="142"/>
      <c r="Q127" s="102"/>
    </row>
    <row r="128" spans="16:17">
      <c r="P128" s="142"/>
      <c r="Q128" s="102"/>
    </row>
    <row r="129" spans="16:17">
      <c r="P129" s="142"/>
      <c r="Q129" s="102"/>
    </row>
    <row r="130" spans="16:17">
      <c r="P130" s="142"/>
      <c r="Q130" s="102"/>
    </row>
    <row r="131" spans="16:17">
      <c r="P131" s="142"/>
      <c r="Q131" s="102"/>
    </row>
    <row r="132" spans="16:17">
      <c r="P132" s="142"/>
      <c r="Q132" s="102"/>
    </row>
    <row r="133" spans="16:17">
      <c r="P133" s="142"/>
      <c r="Q133" s="102"/>
    </row>
    <row r="134" spans="16:17">
      <c r="P134" s="142"/>
      <c r="Q134" s="102"/>
    </row>
    <row r="135" spans="16:17">
      <c r="P135" s="142"/>
      <c r="Q135" s="102"/>
    </row>
    <row r="136" spans="16:17">
      <c r="P136" s="142"/>
      <c r="Q136" s="102"/>
    </row>
    <row r="137" spans="16:17">
      <c r="P137" s="142"/>
      <c r="Q137" s="102"/>
    </row>
    <row r="138" spans="16:17">
      <c r="P138" s="142"/>
      <c r="Q138" s="102"/>
    </row>
    <row r="139" spans="16:17">
      <c r="P139" s="142"/>
      <c r="Q139" s="102"/>
    </row>
    <row r="140" spans="16:17">
      <c r="P140" s="142"/>
      <c r="Q140" s="102"/>
    </row>
    <row r="141" spans="16:17">
      <c r="P141" s="142"/>
      <c r="Q141" s="102"/>
    </row>
    <row r="142" spans="16:17">
      <c r="P142" s="142"/>
      <c r="Q142" s="102"/>
    </row>
    <row r="143" spans="16:17">
      <c r="P143" s="142"/>
      <c r="Q143" s="102"/>
    </row>
    <row r="144" spans="16:17">
      <c r="P144" s="142"/>
      <c r="Q144" s="102"/>
    </row>
    <row r="145" spans="16:17">
      <c r="P145" s="142"/>
      <c r="Q145" s="102"/>
    </row>
    <row r="146" spans="16:17">
      <c r="P146" s="142"/>
      <c r="Q146" s="102"/>
    </row>
    <row r="147" spans="16:17">
      <c r="P147" s="142"/>
      <c r="Q147" s="102"/>
    </row>
    <row r="148" spans="16:17">
      <c r="P148" s="142"/>
      <c r="Q148" s="102"/>
    </row>
    <row r="149" spans="16:17">
      <c r="P149" s="134"/>
      <c r="Q149" s="135"/>
    </row>
  </sheetData>
  <conditionalFormatting sqref="E4">
    <cfRule type="colorScale" priority="3">
      <colorScale>
        <cfvo type="min"/>
        <cfvo type="max"/>
        <color rgb="FFFCFCFF"/>
        <color rgb="FFF8696B"/>
      </colorScale>
    </cfRule>
  </conditionalFormatting>
  <conditionalFormatting sqref="R6:R78">
    <cfRule type="containsText" dxfId="1" priority="1" operator="containsText" text="yes">
      <formula>NOT(ISERROR(SEARCH("yes",R6)))</formula>
    </cfRule>
  </conditionalFormatting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3"/>
  <sheetViews>
    <sheetView topLeftCell="B1" workbookViewId="0">
      <selection activeCell="D32" sqref="D32"/>
    </sheetView>
  </sheetViews>
  <sheetFormatPr defaultRowHeight="12.75"/>
  <cols>
    <col min="1" max="1" width="13.7109375" customWidth="1"/>
    <col min="2" max="2" width="29.140625" customWidth="1"/>
    <col min="3" max="3" width="11.28515625" customWidth="1"/>
    <col min="4" max="4" width="23.28515625" customWidth="1"/>
    <col min="5" max="5" width="25" customWidth="1"/>
    <col min="6" max="6" width="6.85546875" customWidth="1"/>
    <col min="7" max="7" width="12.85546875" customWidth="1"/>
    <col min="8" max="8" width="16" customWidth="1"/>
    <col min="9" max="10" width="25" customWidth="1"/>
    <col min="11" max="11" width="10.5703125" customWidth="1"/>
    <col min="12" max="12" width="28" bestFit="1" customWidth="1"/>
    <col min="13" max="13" width="29.85546875" bestFit="1" customWidth="1"/>
  </cols>
  <sheetData>
    <row r="1" spans="1:9">
      <c r="A1" s="115" t="s">
        <v>105</v>
      </c>
      <c r="B1" s="116" t="s">
        <v>106</v>
      </c>
      <c r="G1" s="115" t="s">
        <v>105</v>
      </c>
      <c r="H1" s="116" t="s">
        <v>119</v>
      </c>
    </row>
    <row r="2" spans="1:9">
      <c r="B2" s="104" t="s">
        <v>131</v>
      </c>
      <c r="G2" s="115" t="s">
        <v>17</v>
      </c>
      <c r="H2" s="116" t="s">
        <v>12</v>
      </c>
      <c r="I2" s="104" t="s">
        <v>130</v>
      </c>
    </row>
    <row r="3" spans="1:9">
      <c r="A3" s="93" t="s">
        <v>113</v>
      </c>
      <c r="B3" s="93" t="s">
        <v>124</v>
      </c>
      <c r="C3" s="94" t="s">
        <v>126</v>
      </c>
      <c r="D3" s="94" t="s">
        <v>127</v>
      </c>
      <c r="E3" s="153" t="s">
        <v>128</v>
      </c>
    </row>
    <row r="4" spans="1:9">
      <c r="A4" s="91" t="s">
        <v>16</v>
      </c>
      <c r="B4" s="119">
        <v>12</v>
      </c>
      <c r="C4" s="157">
        <v>0</v>
      </c>
      <c r="D4" s="157">
        <v>0</v>
      </c>
      <c r="E4" s="158">
        <v>0</v>
      </c>
      <c r="G4" s="93" t="s">
        <v>118</v>
      </c>
      <c r="H4" s="93" t="s">
        <v>123</v>
      </c>
      <c r="I4" s="153" t="s">
        <v>125</v>
      </c>
    </row>
    <row r="5" spans="1:9">
      <c r="A5" s="92" t="s">
        <v>13</v>
      </c>
      <c r="B5" s="121">
        <v>13</v>
      </c>
      <c r="C5" s="159">
        <v>2700</v>
      </c>
      <c r="D5" s="159">
        <v>0</v>
      </c>
      <c r="E5" s="160">
        <v>12000</v>
      </c>
      <c r="G5" s="91" t="s">
        <v>45</v>
      </c>
      <c r="H5" s="163">
        <v>1500</v>
      </c>
      <c r="I5" s="158">
        <v>0</v>
      </c>
    </row>
    <row r="6" spans="1:9">
      <c r="A6" s="92" t="s">
        <v>12</v>
      </c>
      <c r="B6" s="121">
        <v>10</v>
      </c>
      <c r="C6" s="159">
        <v>3600</v>
      </c>
      <c r="D6" s="159">
        <v>0</v>
      </c>
      <c r="E6" s="160">
        <v>10000</v>
      </c>
      <c r="G6" s="92" t="s">
        <v>61</v>
      </c>
      <c r="H6" s="164">
        <v>1200</v>
      </c>
      <c r="I6" s="160">
        <v>1500</v>
      </c>
    </row>
    <row r="7" spans="1:9">
      <c r="A7" s="95" t="s">
        <v>104</v>
      </c>
      <c r="B7" s="154">
        <v>35</v>
      </c>
      <c r="C7" s="161">
        <v>6300</v>
      </c>
      <c r="D7" s="161">
        <v>0</v>
      </c>
      <c r="E7" s="162">
        <v>22000</v>
      </c>
      <c r="G7" s="92" t="s">
        <v>48</v>
      </c>
      <c r="H7" s="164">
        <v>900</v>
      </c>
      <c r="I7" s="160">
        <v>500</v>
      </c>
    </row>
    <row r="8" spans="1:9">
      <c r="G8" s="92" t="s">
        <v>93</v>
      </c>
      <c r="H8" s="164">
        <v>600</v>
      </c>
      <c r="I8" s="160">
        <v>500</v>
      </c>
    </row>
    <row r="9" spans="1:9">
      <c r="G9" s="92" t="s">
        <v>49</v>
      </c>
      <c r="H9" s="164">
        <v>600</v>
      </c>
      <c r="I9" s="160">
        <v>0</v>
      </c>
    </row>
    <row r="10" spans="1:9">
      <c r="G10" s="92" t="s">
        <v>79</v>
      </c>
      <c r="H10" s="164">
        <v>600</v>
      </c>
      <c r="I10" s="160">
        <v>4000</v>
      </c>
    </row>
    <row r="11" spans="1:9">
      <c r="G11" s="92" t="s">
        <v>91</v>
      </c>
      <c r="H11" s="164">
        <v>600</v>
      </c>
      <c r="I11" s="160">
        <v>500</v>
      </c>
    </row>
    <row r="12" spans="1:9">
      <c r="G12" s="92" t="s">
        <v>53</v>
      </c>
      <c r="H12" s="164">
        <v>600</v>
      </c>
      <c r="I12" s="160">
        <v>500</v>
      </c>
    </row>
    <row r="13" spans="1:9">
      <c r="G13" s="92" t="s">
        <v>109</v>
      </c>
      <c r="H13" s="164">
        <v>600</v>
      </c>
      <c r="I13" s="160">
        <v>1500</v>
      </c>
    </row>
    <row r="14" spans="1:9">
      <c r="G14" s="92" t="s">
        <v>51</v>
      </c>
      <c r="H14" s="164">
        <v>600</v>
      </c>
      <c r="I14" s="160">
        <v>1000</v>
      </c>
    </row>
    <row r="15" spans="1:9">
      <c r="G15" s="92" t="s">
        <v>82</v>
      </c>
      <c r="H15" s="164">
        <v>600</v>
      </c>
      <c r="I15" s="160">
        <v>2000</v>
      </c>
    </row>
    <row r="16" spans="1:9">
      <c r="G16" s="92" t="s">
        <v>38</v>
      </c>
      <c r="H16" s="164">
        <v>300</v>
      </c>
      <c r="I16" s="160">
        <v>500</v>
      </c>
    </row>
    <row r="17" spans="1:9">
      <c r="G17" s="92" t="s">
        <v>73</v>
      </c>
      <c r="H17" s="164">
        <v>300</v>
      </c>
      <c r="I17" s="160">
        <v>1500</v>
      </c>
    </row>
    <row r="18" spans="1:9">
      <c r="G18" s="92" t="s">
        <v>63</v>
      </c>
      <c r="H18" s="164">
        <v>300</v>
      </c>
      <c r="I18" s="160">
        <v>500</v>
      </c>
    </row>
    <row r="19" spans="1:9">
      <c r="G19" s="92" t="s">
        <v>56</v>
      </c>
      <c r="H19" s="164">
        <v>300</v>
      </c>
      <c r="I19" s="160">
        <v>0</v>
      </c>
    </row>
    <row r="20" spans="1:9">
      <c r="G20" s="92" t="s">
        <v>52</v>
      </c>
      <c r="H20" s="164">
        <v>300</v>
      </c>
      <c r="I20" s="160">
        <v>2000</v>
      </c>
    </row>
    <row r="21" spans="1:9">
      <c r="G21" s="92" t="s">
        <v>62</v>
      </c>
      <c r="H21" s="164">
        <v>300</v>
      </c>
      <c r="I21" s="160">
        <v>500</v>
      </c>
    </row>
    <row r="22" spans="1:9">
      <c r="G22" s="92" t="s">
        <v>95</v>
      </c>
      <c r="H22" s="164">
        <v>300</v>
      </c>
      <c r="I22" s="160">
        <v>500</v>
      </c>
    </row>
    <row r="23" spans="1:9">
      <c r="G23" s="92" t="s">
        <v>60</v>
      </c>
      <c r="H23" s="164">
        <v>300</v>
      </c>
      <c r="I23" s="160">
        <v>500</v>
      </c>
    </row>
    <row r="24" spans="1:9">
      <c r="G24" s="92" t="s">
        <v>110</v>
      </c>
      <c r="H24" s="164">
        <v>300</v>
      </c>
      <c r="I24" s="160">
        <v>1000</v>
      </c>
    </row>
    <row r="25" spans="1:9">
      <c r="G25" s="92" t="s">
        <v>54</v>
      </c>
      <c r="H25" s="164">
        <v>300</v>
      </c>
      <c r="I25" s="160">
        <v>1500</v>
      </c>
    </row>
    <row r="26" spans="1:9">
      <c r="A26" s="168"/>
      <c r="B26" s="173"/>
      <c r="G26" s="92" t="s">
        <v>96</v>
      </c>
      <c r="H26" s="164">
        <v>300</v>
      </c>
      <c r="I26" s="160">
        <v>1500</v>
      </c>
    </row>
    <row r="27" spans="1:9">
      <c r="A27" s="174"/>
      <c r="B27" s="175"/>
      <c r="G27" s="92" t="s">
        <v>102</v>
      </c>
      <c r="H27" s="164">
        <v>0</v>
      </c>
      <c r="I27" s="160">
        <v>500</v>
      </c>
    </row>
    <row r="28" spans="1:9">
      <c r="A28" s="176"/>
      <c r="B28" s="177"/>
      <c r="G28" s="92" t="s">
        <v>114</v>
      </c>
      <c r="H28" s="164">
        <v>0</v>
      </c>
      <c r="I28" s="160">
        <v>3000</v>
      </c>
    </row>
    <row r="29" spans="1:9">
      <c r="A29" s="176"/>
      <c r="B29" s="177"/>
      <c r="D29" s="106"/>
      <c r="E29" s="107"/>
      <c r="F29" s="108"/>
      <c r="G29" s="92" t="s">
        <v>88</v>
      </c>
      <c r="H29" s="164">
        <v>0</v>
      </c>
      <c r="I29" s="160">
        <v>2000</v>
      </c>
    </row>
    <row r="30" spans="1:9">
      <c r="A30" s="176"/>
      <c r="B30" s="177"/>
      <c r="D30" s="106"/>
      <c r="E30" s="107"/>
      <c r="F30" s="108"/>
      <c r="G30" s="92" t="s">
        <v>46</v>
      </c>
      <c r="H30" s="164">
        <v>0</v>
      </c>
      <c r="I30" s="160">
        <v>1500</v>
      </c>
    </row>
    <row r="31" spans="1:9">
      <c r="A31" s="176"/>
      <c r="B31" s="177"/>
      <c r="D31" s="106"/>
      <c r="E31" s="107"/>
      <c r="F31" s="108"/>
      <c r="G31" s="92" t="s">
        <v>39</v>
      </c>
      <c r="H31" s="164">
        <v>0</v>
      </c>
      <c r="I31" s="160">
        <v>2500</v>
      </c>
    </row>
    <row r="32" spans="1:9">
      <c r="A32" s="176"/>
      <c r="B32" s="177"/>
      <c r="D32" s="106"/>
      <c r="E32" s="107"/>
      <c r="F32" s="108"/>
      <c r="G32" s="92" t="s">
        <v>77</v>
      </c>
      <c r="H32" s="164">
        <v>0</v>
      </c>
      <c r="I32" s="160">
        <v>1000</v>
      </c>
    </row>
    <row r="33" spans="1:9">
      <c r="A33" s="176"/>
      <c r="B33" s="177"/>
      <c r="D33" s="106"/>
      <c r="E33" s="107"/>
      <c r="F33" s="108"/>
      <c r="G33" s="92" t="s">
        <v>41</v>
      </c>
      <c r="H33" s="164">
        <v>0</v>
      </c>
      <c r="I33" s="160">
        <v>1000</v>
      </c>
    </row>
    <row r="34" spans="1:9">
      <c r="A34" s="176"/>
      <c r="B34" s="177"/>
      <c r="D34" s="106"/>
      <c r="E34" s="107"/>
      <c r="F34" s="108"/>
      <c r="G34" s="92" t="s">
        <v>103</v>
      </c>
      <c r="H34" s="164">
        <v>0</v>
      </c>
      <c r="I34" s="160">
        <v>1000</v>
      </c>
    </row>
    <row r="35" spans="1:9">
      <c r="A35" s="176"/>
      <c r="B35" s="177"/>
      <c r="D35" s="106"/>
      <c r="E35" s="107"/>
      <c r="F35" s="108"/>
      <c r="G35" s="92" t="s">
        <v>40</v>
      </c>
      <c r="H35" s="164">
        <v>0</v>
      </c>
      <c r="I35" s="160">
        <v>1000</v>
      </c>
    </row>
    <row r="36" spans="1:9">
      <c r="A36" s="166"/>
      <c r="B36" s="167"/>
      <c r="D36" s="106"/>
      <c r="E36" s="107"/>
      <c r="F36" s="108"/>
      <c r="G36" s="92" t="s">
        <v>108</v>
      </c>
      <c r="H36" s="164">
        <v>0</v>
      </c>
      <c r="I36" s="160">
        <v>1000</v>
      </c>
    </row>
    <row r="37" spans="1:9">
      <c r="D37" s="106"/>
      <c r="E37" s="107"/>
      <c r="F37" s="108"/>
      <c r="G37" s="92" t="s">
        <v>97</v>
      </c>
      <c r="H37" s="164">
        <v>0</v>
      </c>
      <c r="I37" s="160">
        <v>1000</v>
      </c>
    </row>
    <row r="38" spans="1:9">
      <c r="D38" s="106"/>
      <c r="E38" s="107"/>
      <c r="F38" s="108"/>
      <c r="G38" s="92" t="s">
        <v>71</v>
      </c>
      <c r="H38" s="164">
        <v>0</v>
      </c>
      <c r="I38" s="160">
        <v>1000</v>
      </c>
    </row>
    <row r="39" spans="1:9">
      <c r="D39" s="106"/>
      <c r="E39" s="107"/>
      <c r="F39" s="108"/>
      <c r="G39" s="114" t="s">
        <v>104</v>
      </c>
      <c r="H39" s="169">
        <v>11700</v>
      </c>
      <c r="I39" s="170">
        <v>38500</v>
      </c>
    </row>
    <row r="40" spans="1:9">
      <c r="D40" s="106"/>
      <c r="E40" s="107"/>
      <c r="F40" s="108"/>
    </row>
    <row r="41" spans="1:9">
      <c r="D41" s="106"/>
      <c r="E41" s="107"/>
      <c r="F41" s="108"/>
    </row>
    <row r="42" spans="1:9">
      <c r="D42" s="106"/>
      <c r="E42" s="107"/>
      <c r="F42" s="108"/>
    </row>
    <row r="43" spans="1:9">
      <c r="D43" s="109"/>
      <c r="E43" s="110"/>
      <c r="F43" s="111"/>
    </row>
  </sheetData>
  <conditionalFormatting pivot="1" sqref="I5:I39">
    <cfRule type="top10" dxfId="5" priority="2" rank="4"/>
  </conditionalFormatting>
  <conditionalFormatting pivot="1" sqref="H5:H39">
    <cfRule type="top10" dxfId="4" priority="1" rank="4"/>
  </conditionalFormatting>
  <pageMargins left="0.7" right="0.7" top="0.75" bottom="0.75" header="0.3" footer="0.3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7"/>
  <sheetViews>
    <sheetView workbookViewId="0">
      <selection activeCell="E17" sqref="E17"/>
    </sheetView>
  </sheetViews>
  <sheetFormatPr defaultRowHeight="12.75"/>
  <cols>
    <col min="1" max="1" width="11.7109375" customWidth="1"/>
    <col min="2" max="2" width="9.140625" customWidth="1"/>
    <col min="3" max="3" width="19.42578125" customWidth="1"/>
    <col min="5" max="5" width="16.28515625" bestFit="1" customWidth="1"/>
    <col min="6" max="6" width="22.42578125" bestFit="1" customWidth="1"/>
    <col min="7" max="7" width="5.85546875" customWidth="1"/>
    <col min="8" max="8" width="10.5703125" bestFit="1" customWidth="1"/>
  </cols>
  <sheetData>
    <row r="1" spans="1:8">
      <c r="A1" s="123" t="s">
        <v>105</v>
      </c>
      <c r="B1" s="116" t="s">
        <v>119</v>
      </c>
    </row>
    <row r="2" spans="1:8"/>
    <row r="3" spans="1:8">
      <c r="A3" s="93" t="s">
        <v>23</v>
      </c>
      <c r="B3" s="93" t="s">
        <v>133</v>
      </c>
      <c r="C3" s="153" t="s">
        <v>134</v>
      </c>
      <c r="E3" s="181" t="s">
        <v>105</v>
      </c>
      <c r="F3" s="181" t="s">
        <v>149</v>
      </c>
      <c r="G3" s="182" t="s">
        <v>148</v>
      </c>
    </row>
    <row r="4" spans="1:8">
      <c r="A4" s="91" t="s">
        <v>76</v>
      </c>
      <c r="B4" s="119">
        <v>1000</v>
      </c>
      <c r="C4" s="151">
        <v>2</v>
      </c>
      <c r="E4" s="183" t="s">
        <v>145</v>
      </c>
      <c r="F4" s="184">
        <f>($H$10*F12)/$H12</f>
        <v>24.931506849315067</v>
      </c>
      <c r="G4" s="184">
        <f>($H$10*G12)/$H12</f>
        <v>10.068493150684931</v>
      </c>
    </row>
    <row r="5" spans="1:8">
      <c r="A5" s="92" t="s">
        <v>67</v>
      </c>
      <c r="B5" s="121">
        <v>0</v>
      </c>
      <c r="C5" s="152">
        <v>0</v>
      </c>
      <c r="E5" s="185" t="s">
        <v>146</v>
      </c>
      <c r="F5" s="184">
        <f>($H$11*F12)/$H12</f>
        <v>27.068493150684933</v>
      </c>
      <c r="G5" s="184">
        <f>($H$11*G12)/$H12</f>
        <v>10.931506849315069</v>
      </c>
    </row>
    <row r="6" spans="1:8">
      <c r="A6" s="92" t="s">
        <v>40</v>
      </c>
      <c r="B6" s="121">
        <v>1000</v>
      </c>
      <c r="C6" s="152">
        <v>2</v>
      </c>
      <c r="E6" s="95"/>
      <c r="F6" s="165"/>
      <c r="G6" s="180"/>
    </row>
    <row r="7" spans="1:8">
      <c r="A7" s="92" t="s">
        <v>52</v>
      </c>
      <c r="B7" s="121">
        <v>2300</v>
      </c>
      <c r="C7" s="152">
        <v>4</v>
      </c>
      <c r="E7" s="104"/>
    </row>
    <row r="8" spans="1:8">
      <c r="A8" s="92" t="s">
        <v>114</v>
      </c>
      <c r="B8" s="121">
        <v>3000</v>
      </c>
      <c r="C8" s="152">
        <v>6</v>
      </c>
      <c r="E8" s="93" t="s">
        <v>150</v>
      </c>
      <c r="F8" s="93" t="s">
        <v>152</v>
      </c>
      <c r="G8" s="188"/>
      <c r="H8" s="189"/>
    </row>
    <row r="9" spans="1:8">
      <c r="A9" s="92" t="s">
        <v>45</v>
      </c>
      <c r="B9" s="121">
        <v>1500</v>
      </c>
      <c r="C9" s="152">
        <v>0</v>
      </c>
      <c r="E9" s="93" t="s">
        <v>105</v>
      </c>
      <c r="F9" s="93" t="s">
        <v>149</v>
      </c>
      <c r="G9" s="94" t="s">
        <v>148</v>
      </c>
      <c r="H9" s="65" t="s">
        <v>104</v>
      </c>
    </row>
    <row r="10" spans="1:8">
      <c r="A10" s="92" t="s">
        <v>83</v>
      </c>
      <c r="B10" s="121">
        <v>0</v>
      </c>
      <c r="C10" s="152">
        <v>0</v>
      </c>
      <c r="E10" s="91" t="s">
        <v>106</v>
      </c>
      <c r="F10" s="119">
        <v>21</v>
      </c>
      <c r="G10" s="120">
        <v>14</v>
      </c>
      <c r="H10" s="117">
        <v>35</v>
      </c>
    </row>
    <row r="11" spans="1:8">
      <c r="A11" s="92" t="s">
        <v>94</v>
      </c>
      <c r="B11" s="121">
        <v>1000</v>
      </c>
      <c r="C11" s="152">
        <v>2</v>
      </c>
      <c r="E11" s="92" t="s">
        <v>107</v>
      </c>
      <c r="F11" s="121">
        <v>31</v>
      </c>
      <c r="G11" s="122">
        <v>7</v>
      </c>
      <c r="H11" s="118">
        <v>38</v>
      </c>
    </row>
    <row r="12" spans="1:8">
      <c r="A12" s="92" t="s">
        <v>81</v>
      </c>
      <c r="B12" s="121">
        <v>0</v>
      </c>
      <c r="C12" s="152">
        <v>0</v>
      </c>
      <c r="E12" s="95" t="s">
        <v>104</v>
      </c>
      <c r="F12" s="154">
        <v>52</v>
      </c>
      <c r="G12" s="155">
        <v>21</v>
      </c>
      <c r="H12" s="187">
        <v>73</v>
      </c>
    </row>
    <row r="13" spans="1:8">
      <c r="A13" s="92" t="s">
        <v>46</v>
      </c>
      <c r="B13" s="121">
        <v>1500</v>
      </c>
      <c r="C13" s="152">
        <v>3</v>
      </c>
    </row>
    <row r="14" spans="1:8">
      <c r="A14" s="92" t="s">
        <v>80</v>
      </c>
      <c r="B14" s="121">
        <v>0</v>
      </c>
      <c r="C14" s="152">
        <v>0</v>
      </c>
      <c r="E14" s="104" t="s">
        <v>151</v>
      </c>
    </row>
    <row r="15" spans="1:8">
      <c r="A15" s="92" t="s">
        <v>59</v>
      </c>
      <c r="B15" s="121">
        <v>1100</v>
      </c>
      <c r="C15" s="152">
        <v>1</v>
      </c>
      <c r="E15" s="143" t="s">
        <v>153</v>
      </c>
      <c r="F15" s="96">
        <f>_xlfn.CHISQ.TEST(F10:G11,F4:G5)</f>
        <v>4.1878331443474831E-2</v>
      </c>
    </row>
    <row r="16" spans="1:8">
      <c r="A16" s="92" t="s">
        <v>42</v>
      </c>
      <c r="B16" s="121">
        <v>0</v>
      </c>
      <c r="C16" s="152">
        <v>0</v>
      </c>
      <c r="E16" s="143" t="s">
        <v>154</v>
      </c>
    </row>
    <row r="17" spans="1:3">
      <c r="A17" s="92" t="s">
        <v>115</v>
      </c>
      <c r="B17" s="121">
        <v>1000</v>
      </c>
      <c r="C17" s="152">
        <v>2</v>
      </c>
    </row>
    <row r="18" spans="1:3">
      <c r="A18" s="92" t="s">
        <v>92</v>
      </c>
      <c r="B18" s="121">
        <v>0</v>
      </c>
      <c r="C18" s="152">
        <v>0</v>
      </c>
    </row>
    <row r="19" spans="1:3">
      <c r="A19" s="92" t="s">
        <v>50</v>
      </c>
      <c r="B19" s="121">
        <v>300</v>
      </c>
      <c r="C19" s="152">
        <v>0</v>
      </c>
    </row>
    <row r="20" spans="1:3">
      <c r="A20" s="92" t="s">
        <v>78</v>
      </c>
      <c r="B20" s="121">
        <v>0</v>
      </c>
      <c r="C20" s="152">
        <v>0</v>
      </c>
    </row>
    <row r="21" spans="1:3">
      <c r="A21" s="92" t="s">
        <v>57</v>
      </c>
      <c r="B21" s="121">
        <v>0</v>
      </c>
      <c r="C21" s="152">
        <v>0</v>
      </c>
    </row>
    <row r="22" spans="1:3">
      <c r="A22" s="92" t="s">
        <v>61</v>
      </c>
      <c r="B22" s="121">
        <v>2700</v>
      </c>
      <c r="C22" s="152">
        <v>3</v>
      </c>
    </row>
    <row r="23" spans="1:3">
      <c r="A23" s="92" t="s">
        <v>54</v>
      </c>
      <c r="B23" s="121">
        <v>1800</v>
      </c>
      <c r="C23" s="152">
        <v>3</v>
      </c>
    </row>
    <row r="24" spans="1:3">
      <c r="A24" s="92" t="s">
        <v>116</v>
      </c>
      <c r="B24" s="121">
        <v>0</v>
      </c>
      <c r="C24" s="152">
        <v>0</v>
      </c>
    </row>
    <row r="25" spans="1:3">
      <c r="A25" s="92" t="s">
        <v>55</v>
      </c>
      <c r="B25" s="121">
        <v>1800</v>
      </c>
      <c r="C25" s="152">
        <v>3</v>
      </c>
    </row>
    <row r="26" spans="1:3">
      <c r="A26" s="92" t="s">
        <v>69</v>
      </c>
      <c r="B26" s="121">
        <v>500</v>
      </c>
      <c r="C26" s="152">
        <v>1</v>
      </c>
    </row>
    <row r="27" spans="1:3">
      <c r="A27" s="92" t="s">
        <v>70</v>
      </c>
      <c r="B27" s="121">
        <v>0</v>
      </c>
      <c r="C27" s="152">
        <v>0</v>
      </c>
    </row>
    <row r="28" spans="1:3">
      <c r="A28" s="92" t="s">
        <v>74</v>
      </c>
      <c r="B28" s="121">
        <v>500</v>
      </c>
      <c r="C28" s="152">
        <v>1</v>
      </c>
    </row>
    <row r="29" spans="1:3">
      <c r="A29" s="92" t="s">
        <v>71</v>
      </c>
      <c r="B29" s="121">
        <v>1000</v>
      </c>
      <c r="C29" s="152">
        <v>2</v>
      </c>
    </row>
    <row r="30" spans="1:3">
      <c r="A30" s="92" t="s">
        <v>53</v>
      </c>
      <c r="B30" s="121">
        <v>1100</v>
      </c>
      <c r="C30" s="152">
        <v>1</v>
      </c>
    </row>
    <row r="31" spans="1:3">
      <c r="A31" s="92" t="s">
        <v>64</v>
      </c>
      <c r="B31" s="121">
        <v>2000</v>
      </c>
      <c r="C31" s="152">
        <v>4</v>
      </c>
    </row>
    <row r="32" spans="1:3">
      <c r="A32" s="92" t="s">
        <v>103</v>
      </c>
      <c r="B32" s="121">
        <v>1000</v>
      </c>
      <c r="C32" s="152">
        <v>2</v>
      </c>
    </row>
    <row r="33" spans="1:3">
      <c r="A33" s="92" t="s">
        <v>41</v>
      </c>
      <c r="B33" s="121">
        <v>1000</v>
      </c>
      <c r="C33" s="152">
        <v>2</v>
      </c>
    </row>
    <row r="34" spans="1:3">
      <c r="A34" s="92" t="s">
        <v>117</v>
      </c>
      <c r="B34" s="121">
        <v>1500</v>
      </c>
      <c r="C34" s="152">
        <v>3</v>
      </c>
    </row>
    <row r="35" spans="1:3">
      <c r="A35" s="92" t="s">
        <v>73</v>
      </c>
      <c r="B35" s="121">
        <v>1800</v>
      </c>
      <c r="C35" s="152">
        <v>3</v>
      </c>
    </row>
    <row r="36" spans="1:3">
      <c r="A36" s="92" t="s">
        <v>51</v>
      </c>
      <c r="B36" s="121">
        <v>1600</v>
      </c>
      <c r="C36" s="152">
        <v>2</v>
      </c>
    </row>
    <row r="37" spans="1:3">
      <c r="A37" s="92" t="s">
        <v>90</v>
      </c>
      <c r="B37" s="121">
        <v>500</v>
      </c>
      <c r="C37" s="152">
        <v>1</v>
      </c>
    </row>
    <row r="38" spans="1:3">
      <c r="A38" s="92" t="s">
        <v>75</v>
      </c>
      <c r="B38" s="121">
        <v>1000</v>
      </c>
      <c r="C38" s="152">
        <v>2</v>
      </c>
    </row>
    <row r="39" spans="1:3">
      <c r="A39" s="92" t="s">
        <v>44</v>
      </c>
      <c r="B39" s="121">
        <v>0</v>
      </c>
      <c r="C39" s="152">
        <v>0</v>
      </c>
    </row>
    <row r="40" spans="1:3">
      <c r="A40" s="92" t="s">
        <v>100</v>
      </c>
      <c r="B40" s="121">
        <v>1600</v>
      </c>
      <c r="C40" s="152">
        <v>2</v>
      </c>
    </row>
    <row r="41" spans="1:3">
      <c r="A41" s="92" t="s">
        <v>65</v>
      </c>
      <c r="B41" s="121">
        <v>0</v>
      </c>
      <c r="C41" s="152">
        <v>0</v>
      </c>
    </row>
    <row r="42" spans="1:3">
      <c r="A42" s="92" t="s">
        <v>49</v>
      </c>
      <c r="B42" s="121">
        <v>600</v>
      </c>
      <c r="C42" s="152">
        <v>0</v>
      </c>
    </row>
    <row r="43" spans="1:3">
      <c r="A43" s="92" t="s">
        <v>56</v>
      </c>
      <c r="B43" s="121">
        <v>300</v>
      </c>
      <c r="C43" s="152">
        <v>0</v>
      </c>
    </row>
    <row r="44" spans="1:3">
      <c r="A44" s="92" t="s">
        <v>62</v>
      </c>
      <c r="B44" s="121">
        <v>800</v>
      </c>
      <c r="C44" s="152">
        <v>1</v>
      </c>
    </row>
    <row r="45" spans="1:3">
      <c r="A45" s="92" t="s">
        <v>82</v>
      </c>
      <c r="B45" s="121">
        <v>2600</v>
      </c>
      <c r="C45" s="152">
        <v>4</v>
      </c>
    </row>
    <row r="46" spans="1:3">
      <c r="A46" s="92" t="s">
        <v>60</v>
      </c>
      <c r="B46" s="121">
        <v>800</v>
      </c>
      <c r="C46" s="152">
        <v>1</v>
      </c>
    </row>
    <row r="47" spans="1:3">
      <c r="A47" s="92" t="s">
        <v>77</v>
      </c>
      <c r="B47" s="121">
        <v>1000</v>
      </c>
      <c r="C47" s="152">
        <v>2</v>
      </c>
    </row>
    <row r="48" spans="1:3">
      <c r="A48" s="92" t="s">
        <v>85</v>
      </c>
      <c r="B48" s="121">
        <v>500</v>
      </c>
      <c r="C48" s="152">
        <v>1</v>
      </c>
    </row>
    <row r="49" spans="1:3">
      <c r="A49" s="92" t="s">
        <v>86</v>
      </c>
      <c r="B49" s="121">
        <v>0</v>
      </c>
      <c r="C49" s="152">
        <v>0</v>
      </c>
    </row>
    <row r="50" spans="1:3">
      <c r="A50" s="92" t="s">
        <v>87</v>
      </c>
      <c r="B50" s="121">
        <v>500</v>
      </c>
      <c r="C50" s="152">
        <v>1</v>
      </c>
    </row>
    <row r="51" spans="1:3">
      <c r="A51" s="92" t="s">
        <v>108</v>
      </c>
      <c r="B51" s="121">
        <v>1000</v>
      </c>
      <c r="C51" s="152">
        <v>2</v>
      </c>
    </row>
    <row r="52" spans="1:3">
      <c r="A52" s="92" t="s">
        <v>48</v>
      </c>
      <c r="B52" s="121">
        <v>1400</v>
      </c>
      <c r="C52" s="152">
        <v>1</v>
      </c>
    </row>
    <row r="53" spans="1:3">
      <c r="A53" s="92" t="s">
        <v>98</v>
      </c>
      <c r="B53" s="121">
        <v>1800</v>
      </c>
      <c r="C53" s="152">
        <v>3</v>
      </c>
    </row>
    <row r="54" spans="1:3">
      <c r="A54" s="92" t="s">
        <v>97</v>
      </c>
      <c r="B54" s="121">
        <v>1000</v>
      </c>
      <c r="C54" s="152">
        <v>2</v>
      </c>
    </row>
    <row r="55" spans="1:3">
      <c r="A55" s="92" t="s">
        <v>79</v>
      </c>
      <c r="B55" s="121">
        <v>4600</v>
      </c>
      <c r="C55" s="152">
        <v>8</v>
      </c>
    </row>
    <row r="56" spans="1:3">
      <c r="A56" s="92" t="s">
        <v>66</v>
      </c>
      <c r="B56" s="121">
        <v>0</v>
      </c>
      <c r="C56" s="152">
        <v>0</v>
      </c>
    </row>
    <row r="57" spans="1:3">
      <c r="A57" s="92" t="s">
        <v>91</v>
      </c>
      <c r="B57" s="121">
        <v>1100</v>
      </c>
      <c r="C57" s="152">
        <v>1</v>
      </c>
    </row>
    <row r="58" spans="1:3">
      <c r="A58" s="92" t="s">
        <v>38</v>
      </c>
      <c r="B58" s="121">
        <v>800</v>
      </c>
      <c r="C58" s="152">
        <v>1</v>
      </c>
    </row>
    <row r="59" spans="1:3">
      <c r="A59" s="92" t="s">
        <v>43</v>
      </c>
      <c r="B59" s="121">
        <v>300</v>
      </c>
      <c r="C59" s="152">
        <v>0</v>
      </c>
    </row>
    <row r="60" spans="1:3">
      <c r="A60" s="92" t="s">
        <v>84</v>
      </c>
      <c r="B60" s="121">
        <v>500</v>
      </c>
      <c r="C60" s="152">
        <v>1</v>
      </c>
    </row>
    <row r="61" spans="1:3">
      <c r="A61" s="92" t="s">
        <v>68</v>
      </c>
      <c r="B61" s="121">
        <v>1000</v>
      </c>
      <c r="C61" s="152">
        <v>2</v>
      </c>
    </row>
    <row r="62" spans="1:3">
      <c r="A62" s="92" t="s">
        <v>47</v>
      </c>
      <c r="B62" s="121">
        <v>0</v>
      </c>
      <c r="C62" s="152">
        <v>0</v>
      </c>
    </row>
    <row r="63" spans="1:3">
      <c r="A63" s="92" t="s">
        <v>99</v>
      </c>
      <c r="B63" s="121">
        <v>500</v>
      </c>
      <c r="C63" s="152">
        <v>1</v>
      </c>
    </row>
    <row r="64" spans="1:3">
      <c r="A64" s="92" t="s">
        <v>93</v>
      </c>
      <c r="B64" s="121">
        <v>1100</v>
      </c>
      <c r="C64" s="152">
        <v>1</v>
      </c>
    </row>
    <row r="65" spans="1:3">
      <c r="A65" s="92" t="s">
        <v>95</v>
      </c>
      <c r="B65" s="121">
        <v>800</v>
      </c>
      <c r="C65" s="152">
        <v>1</v>
      </c>
    </row>
    <row r="66" spans="1:3">
      <c r="A66" s="92" t="s">
        <v>63</v>
      </c>
      <c r="B66" s="121">
        <v>800</v>
      </c>
      <c r="C66" s="152">
        <v>1</v>
      </c>
    </row>
    <row r="67" spans="1:3">
      <c r="A67" s="92" t="s">
        <v>89</v>
      </c>
      <c r="B67" s="121">
        <v>3800</v>
      </c>
      <c r="C67" s="152">
        <v>7</v>
      </c>
    </row>
    <row r="68" spans="1:3">
      <c r="A68" s="92" t="s">
        <v>39</v>
      </c>
      <c r="B68" s="121">
        <v>2500</v>
      </c>
      <c r="C68" s="152">
        <v>5</v>
      </c>
    </row>
    <row r="69" spans="1:3">
      <c r="A69" s="92" t="s">
        <v>110</v>
      </c>
      <c r="B69" s="121">
        <v>1300</v>
      </c>
      <c r="C69" s="152">
        <v>2</v>
      </c>
    </row>
    <row r="70" spans="1:3">
      <c r="A70" s="92" t="s">
        <v>58</v>
      </c>
      <c r="B70" s="121">
        <v>1300</v>
      </c>
      <c r="C70" s="152">
        <v>2</v>
      </c>
    </row>
    <row r="71" spans="1:3">
      <c r="A71" s="92" t="s">
        <v>101</v>
      </c>
      <c r="B71" s="121">
        <v>2900</v>
      </c>
      <c r="C71" s="152">
        <v>4</v>
      </c>
    </row>
    <row r="72" spans="1:3">
      <c r="A72" s="92" t="s">
        <v>109</v>
      </c>
      <c r="B72" s="121">
        <v>2100</v>
      </c>
      <c r="C72" s="152">
        <v>3</v>
      </c>
    </row>
    <row r="73" spans="1:3">
      <c r="A73" s="92" t="s">
        <v>88</v>
      </c>
      <c r="B73" s="121">
        <v>2000</v>
      </c>
      <c r="C73" s="152">
        <v>4</v>
      </c>
    </row>
    <row r="74" spans="1:3">
      <c r="A74" s="92" t="s">
        <v>102</v>
      </c>
      <c r="B74" s="121">
        <v>500</v>
      </c>
      <c r="C74" s="152">
        <v>1</v>
      </c>
    </row>
    <row r="75" spans="1:3">
      <c r="A75" s="92" t="s">
        <v>96</v>
      </c>
      <c r="B75" s="121">
        <v>1800</v>
      </c>
      <c r="C75" s="152">
        <v>3</v>
      </c>
    </row>
    <row r="76" spans="1:3">
      <c r="A76" s="92" t="s">
        <v>37</v>
      </c>
      <c r="B76" s="121">
        <v>0</v>
      </c>
      <c r="C76" s="152">
        <v>0</v>
      </c>
    </row>
    <row r="77" spans="1:3">
      <c r="A77" s="95" t="s">
        <v>104</v>
      </c>
      <c r="B77" s="154">
        <v>77100</v>
      </c>
      <c r="C77" s="156">
        <v>123</v>
      </c>
    </row>
  </sheetData>
  <conditionalFormatting pivot="1" sqref="C4:C77">
    <cfRule type="cellIs" dxfId="3" priority="2" operator="greaterThan">
      <formula>2</formula>
    </cfRule>
  </conditionalFormatting>
  <conditionalFormatting pivot="1" sqref="B4:B77">
    <cfRule type="cellIs" dxfId="2" priority="1" operator="greaterThan">
      <formula>1000</formula>
    </cfRule>
  </conditionalFormatting>
  <pageMargins left="0.7" right="0.7" top="0.75" bottom="0.75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workbookViewId="0">
      <selection activeCell="N18" sqref="N18"/>
    </sheetView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55943-A75B-4B5A-9A20-F38CC683F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Attendance key</vt:lpstr>
      <vt:lpstr>Quarter 2 26.27</vt:lpstr>
      <vt:lpstr>Data Cleaning</vt:lpstr>
      <vt:lpstr>Main Table from power query</vt:lpstr>
      <vt:lpstr>Attendance Analysis</vt:lpstr>
      <vt:lpstr>Fines Analysis</vt:lpstr>
      <vt:lpstr>Segmentation Analysis</vt:lpstr>
      <vt:lpstr>Data 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2026-09-07T08:39:18Z</dcterms:created>
  <dcterms:modified xsi:type="dcterms:W3CDTF">2026-09-07T14:45:33Z</dcterms:modified>
</cp:coreProperties>
</file>